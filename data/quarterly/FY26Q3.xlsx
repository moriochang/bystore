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0CD86098-8F72-7A45-9A73-A32CAA44DED2}" xr6:coauthVersionLast="47" xr6:coauthVersionMax="47" xr10:uidLastSave="{00000000-0000-0000-0000-000000000000}"/>
  <bookViews>
    <workbookView xWindow="10400" yWindow="68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<sst xmlns="http://schemas.openxmlformats.org/spreadsheetml/2006/main" count="880" uniqueCount="42">
  <si>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</si>
  <si>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</si>
  <si>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</si>
  <si>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</si>
  <si>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</si>
  <si>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</si>
  <si>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</si>
  <si>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</si>
  <si>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</si>
  <si>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</si>
  <si>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</si>
  <si>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</si>
  <si>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</si>
  <si>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</si>
  <si>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</si>
  <si>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</si>
  <si>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</si>
  <si>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</si>
  <si>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</si>
  <si>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</si>
  <si>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</si>
  <si>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</si>
  <si>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</si>
  <si>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</si>
  <si>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</si>
  <si>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</si>
  <si>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</si>
  <si>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</si>
  <si>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</si>
  <si>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</si>
  <si>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</si>
  <si>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</si>
  <si>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</si>
  <si>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</si>
  <si>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</si>
  <si>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</si>
  <si>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</si>
  <si>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</si>
  <si>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</si>
  <si>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</si>
  <si>
    <t>26Q3W10</t>
    <phoneticPr fontId="2" type="noConversion"/>
  </si>
  <si>
    <t>05/31~06/06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</si>
</sst>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BP1" activePane="topRight" state="frozen"/>
      <selection pane="topRight" activeCell="BO55" sqref="BO55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 t="s">
        <v>40</v>
      </c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5525</v>
      </c>
      <c r="BX5" s="33"/>
      <c r="BY5" s="10">
        <f t="shared" ref="BY5:BY36" si="20">BW5-BO5</f>
        <v>174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-5525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8</v>
      </c>
      <c r="BP6" s="33"/>
      <c r="BQ6" s="10">
        <f t="shared" si="17"/>
        <v>-3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-8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W7" s="10">
        <v>160</v>
      </c>
      <c r="BX7" s="12">
        <v>192199.99999935</v>
      </c>
      <c r="BY7" s="10">
        <f t="shared" si="20"/>
        <v>-30</v>
      </c>
      <c r="BZ7" s="12">
        <f t="shared" si="21"/>
        <v>-44453.333333190007</v>
      </c>
      <c r="CA7" s="11">
        <f t="shared" si="22"/>
        <v>-0.18784156853909667</v>
      </c>
      <c r="CC7" s="14"/>
      <c r="CD7" s="13" t="s">
        <v>10</v>
      </c>
      <c r="CF7" s="12"/>
      <c r="CG7" s="10">
        <f t="shared" si="23"/>
        <v>-160</v>
      </c>
      <c r="CH7" s="12">
        <f t="shared" si="24"/>
        <v>-192199.99999935</v>
      </c>
      <c r="CI7" s="11">
        <f t="shared" si="25"/>
        <v>-1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W8" s="10">
        <v>246</v>
      </c>
      <c r="BX8" s="12">
        <v>345356.19047600986</v>
      </c>
      <c r="BY8" s="10">
        <f t="shared" si="20"/>
        <v>101</v>
      </c>
      <c r="BZ8" s="12">
        <f t="shared" si="21"/>
        <v>136030.47619045983</v>
      </c>
      <c r="CA8" s="11">
        <f t="shared" si="22"/>
        <v>0.649850767999267</v>
      </c>
      <c r="CC8" s="14"/>
      <c r="CD8" s="13" t="s">
        <v>9</v>
      </c>
      <c r="CF8" s="12"/>
      <c r="CG8" s="10">
        <f t="shared" si="23"/>
        <v>-246</v>
      </c>
      <c r="CH8" s="12">
        <f t="shared" si="24"/>
        <v>-345356.19047600986</v>
      </c>
      <c r="CI8" s="11">
        <f t="shared" si="25"/>
        <v>-1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W9" s="10">
        <v>54</v>
      </c>
      <c r="BX9" s="12">
        <v>354723.80952379003</v>
      </c>
      <c r="BY9" s="10">
        <f t="shared" si="20"/>
        <v>-4</v>
      </c>
      <c r="BZ9" s="12">
        <f t="shared" si="21"/>
        <v>-17580.952380949981</v>
      </c>
      <c r="CA9" s="11">
        <f t="shared" si="22"/>
        <v>-4.7221937992424447E-2</v>
      </c>
      <c r="CC9" s="14"/>
      <c r="CD9" s="13" t="s">
        <v>8</v>
      </c>
      <c r="CF9" s="12"/>
      <c r="CG9" s="10">
        <f t="shared" si="23"/>
        <v>-54</v>
      </c>
      <c r="CH9" s="12">
        <f t="shared" si="24"/>
        <v>-354723.80952379003</v>
      </c>
      <c r="CI9" s="11">
        <f t="shared" si="25"/>
        <v>-1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W10" s="10">
        <v>42</v>
      </c>
      <c r="BX10" s="12">
        <v>536290.47619040008</v>
      </c>
      <c r="BY10" s="10">
        <f t="shared" si="20"/>
        <v>8</v>
      </c>
      <c r="BZ10" s="12">
        <f t="shared" si="21"/>
        <v>45242.85714286007</v>
      </c>
      <c r="CA10" s="11">
        <f t="shared" si="22"/>
        <v>9.2135376260687976E-2</v>
      </c>
      <c r="CC10" s="14"/>
      <c r="CD10" s="13" t="s">
        <v>7</v>
      </c>
      <c r="CF10" s="12"/>
      <c r="CG10" s="10">
        <f t="shared" si="23"/>
        <v>-42</v>
      </c>
      <c r="CH10" s="12">
        <f t="shared" si="24"/>
        <v>-536290.47619040008</v>
      </c>
      <c r="CI10" s="11">
        <f t="shared" si="25"/>
        <v>-1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W12" s="10">
        <v>9</v>
      </c>
      <c r="BX12" s="12">
        <v>64210</v>
      </c>
      <c r="BY12" s="10">
        <f t="shared" si="20"/>
        <v>0</v>
      </c>
      <c r="BZ12" s="12">
        <f t="shared" si="21"/>
        <v>19980</v>
      </c>
      <c r="CA12" s="11">
        <f t="shared" si="22"/>
        <v>0.45172959529730949</v>
      </c>
      <c r="CC12" s="14"/>
      <c r="CD12" s="13" t="s">
        <v>5</v>
      </c>
      <c r="CF12" s="12"/>
      <c r="CG12" s="10">
        <f t="shared" si="23"/>
        <v>-9</v>
      </c>
      <c r="CH12" s="12">
        <f t="shared" si="24"/>
        <v>-64210</v>
      </c>
      <c r="CI12" s="11">
        <f t="shared" si="25"/>
        <v>-1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W13" s="10">
        <v>27</v>
      </c>
      <c r="BX13" s="12">
        <v>1058461.9047618101</v>
      </c>
      <c r="BY13" s="10">
        <f t="shared" si="20"/>
        <v>-2</v>
      </c>
      <c r="BZ13" s="12">
        <f t="shared" si="21"/>
        <v>-238652.38095240993</v>
      </c>
      <c r="CA13" s="11">
        <f t="shared" si="22"/>
        <v>-0.18398716564978901</v>
      </c>
      <c r="CC13" s="14"/>
      <c r="CD13" s="13" t="s">
        <v>4</v>
      </c>
      <c r="CF13" s="12"/>
      <c r="CG13" s="10">
        <f t="shared" si="23"/>
        <v>-27</v>
      </c>
      <c r="CH13" s="12">
        <f t="shared" si="24"/>
        <v>-1058461.9047618101</v>
      </c>
      <c r="CI13" s="11">
        <f t="shared" si="25"/>
        <v>-1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W14" s="10">
        <v>42</v>
      </c>
      <c r="BX14" s="12">
        <v>841809.52380944008</v>
      </c>
      <c r="BY14" s="10">
        <f t="shared" si="20"/>
        <v>-14</v>
      </c>
      <c r="BZ14" s="12">
        <f t="shared" si="21"/>
        <v>-209238.09523808036</v>
      </c>
      <c r="CA14" s="11">
        <f t="shared" si="22"/>
        <v>-0.19907575208409295</v>
      </c>
      <c r="CC14" s="14"/>
      <c r="CD14" s="13" t="s">
        <v>3</v>
      </c>
      <c r="CF14" s="12"/>
      <c r="CG14" s="10">
        <f t="shared" si="23"/>
        <v>-42</v>
      </c>
      <c r="CH14" s="12">
        <f t="shared" si="24"/>
        <v>-841809.52380944008</v>
      </c>
      <c r="CI14" s="11">
        <f t="shared" si="25"/>
        <v>-1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W15" s="10">
        <v>79</v>
      </c>
      <c r="BX15" s="12">
        <v>2778088.5714284801</v>
      </c>
      <c r="BY15" s="10">
        <f t="shared" si="20"/>
        <v>8</v>
      </c>
      <c r="BZ15" s="12">
        <f t="shared" si="21"/>
        <v>149612.38095238013</v>
      </c>
      <c r="CA15" s="11">
        <f t="shared" si="22"/>
        <v>5.6919815935361627E-2</v>
      </c>
      <c r="CC15" s="14"/>
      <c r="CD15" s="13" t="s">
        <v>2</v>
      </c>
      <c r="CF15" s="12"/>
      <c r="CG15" s="10">
        <f t="shared" si="23"/>
        <v>-79</v>
      </c>
      <c r="CH15" s="12">
        <f t="shared" si="24"/>
        <v>-2778088.5714284801</v>
      </c>
      <c r="CI15" s="11">
        <f t="shared" si="25"/>
        <v>-1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>
        <v>659</v>
      </c>
      <c r="BX16" s="7">
        <v>6171140.4761892799</v>
      </c>
      <c r="BY16" s="27">
        <f t="shared" si="20"/>
        <v>67</v>
      </c>
      <c r="BZ16" s="28">
        <f t="shared" si="21"/>
        <v>-159059.04761893116</v>
      </c>
      <c r="CA16" s="29">
        <f t="shared" si="22"/>
        <v>-2.5127019617739027E-2</v>
      </c>
      <c r="CC16" s="9" t="s">
        <v>19</v>
      </c>
      <c r="CD16" s="9"/>
      <c r="CE16" s="8"/>
      <c r="CF16" s="7"/>
      <c r="CG16" s="27">
        <f t="shared" si="23"/>
        <v>-659</v>
      </c>
      <c r="CH16" s="28">
        <f t="shared" si="24"/>
        <v>-6171140.4761892799</v>
      </c>
      <c r="CI16" s="29">
        <f t="shared" si="25"/>
        <v>-1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3848</v>
      </c>
      <c r="BX17" s="33"/>
      <c r="BY17" s="10">
        <f t="shared" si="20"/>
        <v>-17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-3848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16</v>
      </c>
      <c r="BP18" s="35"/>
      <c r="BQ18" s="10">
        <f t="shared" si="17"/>
        <v>13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-16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W19" s="10">
        <v>129</v>
      </c>
      <c r="BX19" s="12">
        <v>147788.57142798993</v>
      </c>
      <c r="BY19" s="10">
        <f t="shared" si="20"/>
        <v>5</v>
      </c>
      <c r="BZ19" s="12">
        <f t="shared" si="21"/>
        <v>16758.095238089954</v>
      </c>
      <c r="CA19" s="11">
        <f t="shared" si="22"/>
        <v>0.1278946373804119</v>
      </c>
      <c r="CC19" s="14"/>
      <c r="CD19" s="13" t="s">
        <v>10</v>
      </c>
      <c r="CF19" s="12"/>
      <c r="CG19" s="10">
        <f t="shared" si="23"/>
        <v>-129</v>
      </c>
      <c r="CH19" s="12">
        <f t="shared" si="24"/>
        <v>-147788.57142798993</v>
      </c>
      <c r="CI19" s="11">
        <f t="shared" si="25"/>
        <v>-1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W20" s="10">
        <v>177</v>
      </c>
      <c r="BX20" s="12">
        <v>198124.76190461</v>
      </c>
      <c r="BY20" s="10">
        <f t="shared" si="20"/>
        <v>53</v>
      </c>
      <c r="BZ20" s="12">
        <f t="shared" si="21"/>
        <v>68772.380952340012</v>
      </c>
      <c r="CA20" s="11">
        <f t="shared" si="22"/>
        <v>0.53166691208966987</v>
      </c>
      <c r="CC20" s="14"/>
      <c r="CD20" s="13" t="s">
        <v>9</v>
      </c>
      <c r="CF20" s="12"/>
      <c r="CG20" s="10">
        <f t="shared" si="23"/>
        <v>-177</v>
      </c>
      <c r="CH20" s="12">
        <f t="shared" si="24"/>
        <v>-198124.76190461</v>
      </c>
      <c r="CI20" s="11">
        <f t="shared" si="25"/>
        <v>-1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W21" s="10">
        <v>36</v>
      </c>
      <c r="BX21" s="12">
        <v>225371.42857140998</v>
      </c>
      <c r="BY21" s="10">
        <f t="shared" si="20"/>
        <v>0</v>
      </c>
      <c r="BZ21" s="12">
        <f t="shared" si="21"/>
        <v>-24285.714285710012</v>
      </c>
      <c r="CA21" s="11">
        <f t="shared" si="22"/>
        <v>-9.7276264591431474E-2</v>
      </c>
      <c r="CC21" s="14"/>
      <c r="CD21" s="13" t="s">
        <v>8</v>
      </c>
      <c r="CF21" s="12"/>
      <c r="CG21" s="10">
        <f t="shared" si="23"/>
        <v>-36</v>
      </c>
      <c r="CH21" s="12">
        <f t="shared" si="24"/>
        <v>-225371.42857140998</v>
      </c>
      <c r="CI21" s="11">
        <f t="shared" si="25"/>
        <v>-1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W22" s="10">
        <v>22</v>
      </c>
      <c r="BX22" s="12">
        <v>235523.80952376002</v>
      </c>
      <c r="BY22" s="10">
        <f t="shared" si="20"/>
        <v>4</v>
      </c>
      <c r="BZ22" s="12">
        <f t="shared" si="21"/>
        <v>-25619.047619019984</v>
      </c>
      <c r="CA22" s="11">
        <f t="shared" si="22"/>
        <v>-9.8103574033475305E-2</v>
      </c>
      <c r="CC22" s="14"/>
      <c r="CD22" s="13" t="s">
        <v>7</v>
      </c>
      <c r="CF22" s="12"/>
      <c r="CG22" s="10">
        <f t="shared" si="23"/>
        <v>-22</v>
      </c>
      <c r="CH22" s="12">
        <f t="shared" si="24"/>
        <v>-235523.80952376002</v>
      </c>
      <c r="CI22" s="11">
        <f t="shared" si="25"/>
        <v>-1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W24" s="10">
        <v>13</v>
      </c>
      <c r="BX24" s="12">
        <v>37630</v>
      </c>
      <c r="BY24" s="10">
        <f t="shared" si="20"/>
        <v>-2</v>
      </c>
      <c r="BZ24" s="12">
        <f t="shared" si="21"/>
        <v>-36250</v>
      </c>
      <c r="CA24" s="11">
        <f t="shared" si="22"/>
        <v>-0.49066053059014619</v>
      </c>
      <c r="CC24" s="14"/>
      <c r="CD24" s="13" t="s">
        <v>5</v>
      </c>
      <c r="CF24" s="12"/>
      <c r="CG24" s="10">
        <f t="shared" si="23"/>
        <v>-13</v>
      </c>
      <c r="CH24" s="12">
        <f t="shared" si="24"/>
        <v>-37630</v>
      </c>
      <c r="CI24" s="11">
        <f t="shared" si="25"/>
        <v>-1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W25" s="10">
        <v>10</v>
      </c>
      <c r="BX25" s="12">
        <v>399761.90476185997</v>
      </c>
      <c r="BY25" s="10">
        <f t="shared" si="20"/>
        <v>-10</v>
      </c>
      <c r="BZ25" s="12">
        <f t="shared" si="21"/>
        <v>-465314.28571427014</v>
      </c>
      <c r="CA25" s="11">
        <f t="shared" si="22"/>
        <v>-0.53788821243382667</v>
      </c>
      <c r="CC25" s="14"/>
      <c r="CD25" s="13" t="s">
        <v>4</v>
      </c>
      <c r="CF25" s="12"/>
      <c r="CG25" s="10">
        <f t="shared" si="23"/>
        <v>-10</v>
      </c>
      <c r="CH25" s="12">
        <f t="shared" si="24"/>
        <v>-399761.90476185997</v>
      </c>
      <c r="CI25" s="11">
        <f t="shared" si="25"/>
        <v>-1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W26" s="10">
        <v>35</v>
      </c>
      <c r="BX26" s="12">
        <v>695619.04761897004</v>
      </c>
      <c r="BY26" s="10">
        <f t="shared" si="20"/>
        <v>14</v>
      </c>
      <c r="BZ26" s="12">
        <f t="shared" si="21"/>
        <v>355523.80952379003</v>
      </c>
      <c r="CA26" s="11">
        <f t="shared" si="22"/>
        <v>1.0453654438533835</v>
      </c>
      <c r="CC26" s="14"/>
      <c r="CD26" s="13" t="s">
        <v>3</v>
      </c>
      <c r="CF26" s="12"/>
      <c r="CG26" s="10">
        <f t="shared" si="23"/>
        <v>-35</v>
      </c>
      <c r="CH26" s="12">
        <f t="shared" si="24"/>
        <v>-695619.04761897004</v>
      </c>
      <c r="CI26" s="11">
        <f t="shared" si="25"/>
        <v>-1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W27" s="10">
        <v>50</v>
      </c>
      <c r="BX27" s="12">
        <v>1830476.19047613</v>
      </c>
      <c r="BY27" s="10">
        <f t="shared" si="20"/>
        <v>4</v>
      </c>
      <c r="BZ27" s="12">
        <f t="shared" si="21"/>
        <v>175809.52380954009</v>
      </c>
      <c r="CA27" s="11">
        <f t="shared" si="22"/>
        <v>0.1062507194658833</v>
      </c>
      <c r="CC27" s="14"/>
      <c r="CD27" s="13" t="s">
        <v>2</v>
      </c>
      <c r="CF27" s="12"/>
      <c r="CG27" s="10">
        <f t="shared" si="23"/>
        <v>-50</v>
      </c>
      <c r="CH27" s="12">
        <f t="shared" si="24"/>
        <v>-1830476.19047613</v>
      </c>
      <c r="CI27" s="11">
        <f t="shared" si="25"/>
        <v>-1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>
        <v>472</v>
      </c>
      <c r="BX28" s="7">
        <v>3770295.7142847301</v>
      </c>
      <c r="BY28" s="27">
        <f t="shared" si="20"/>
        <v>67</v>
      </c>
      <c r="BZ28" s="28">
        <f t="shared" si="21"/>
        <v>62737.619047620334</v>
      </c>
      <c r="CA28" s="29">
        <f t="shared" si="22"/>
        <v>1.6921547130499669E-2</v>
      </c>
      <c r="CC28" s="9" t="s">
        <v>13</v>
      </c>
      <c r="CD28" s="9"/>
      <c r="CE28" s="8"/>
      <c r="CF28" s="7"/>
      <c r="CG28" s="27">
        <f t="shared" si="23"/>
        <v>-472</v>
      </c>
      <c r="CH28" s="28">
        <f t="shared" si="24"/>
        <v>-3770295.7142847301</v>
      </c>
      <c r="CI28" s="29">
        <f t="shared" si="25"/>
        <v>-1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3070</v>
      </c>
      <c r="BX29" s="33"/>
      <c r="BY29" s="10">
        <f t="shared" si="20"/>
        <v>-57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-3070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4</v>
      </c>
      <c r="BP30" s="35"/>
      <c r="BQ30" s="10">
        <f t="shared" si="17"/>
        <v>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-4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W31" s="10">
        <v>87</v>
      </c>
      <c r="BX31" s="12">
        <v>81336.190475799987</v>
      </c>
      <c r="BY31" s="10">
        <f t="shared" si="20"/>
        <v>16</v>
      </c>
      <c r="BZ31" s="12">
        <f t="shared" si="21"/>
        <v>-2385.7142857900762</v>
      </c>
      <c r="CA31" s="11">
        <f t="shared" si="22"/>
        <v>-2.8495700051064703E-2</v>
      </c>
      <c r="CC31" s="14"/>
      <c r="CD31" s="13" t="s">
        <v>10</v>
      </c>
      <c r="CF31" s="12"/>
      <c r="CG31" s="10">
        <f t="shared" si="23"/>
        <v>-87</v>
      </c>
      <c r="CH31" s="12">
        <f t="shared" si="24"/>
        <v>-81336.190475799987</v>
      </c>
      <c r="CI31" s="11">
        <f t="shared" si="25"/>
        <v>-1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W32" s="10">
        <v>73</v>
      </c>
      <c r="BX32" s="12">
        <v>90666.666666549965</v>
      </c>
      <c r="BY32" s="10">
        <f t="shared" si="20"/>
        <v>24</v>
      </c>
      <c r="BZ32" s="12">
        <f t="shared" si="21"/>
        <v>28695.23809521996</v>
      </c>
      <c r="CA32" s="11">
        <f t="shared" si="22"/>
        <v>0.46303980328920979</v>
      </c>
      <c r="CC32" s="14"/>
      <c r="CD32" s="13" t="s">
        <v>9</v>
      </c>
      <c r="CF32" s="12"/>
      <c r="CG32" s="10">
        <f t="shared" si="23"/>
        <v>-73</v>
      </c>
      <c r="CH32" s="12">
        <f t="shared" si="24"/>
        <v>-90666.666666549965</v>
      </c>
      <c r="CI32" s="11">
        <f t="shared" si="25"/>
        <v>-1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W33" s="10">
        <v>13</v>
      </c>
      <c r="BX33" s="12">
        <v>81304.761904750005</v>
      </c>
      <c r="BY33" s="10">
        <f t="shared" si="20"/>
        <v>-5</v>
      </c>
      <c r="BZ33" s="12">
        <f t="shared" si="21"/>
        <v>-62809.523809510007</v>
      </c>
      <c r="CA33" s="11">
        <f t="shared" si="22"/>
        <v>-0.43583135077978635</v>
      </c>
      <c r="CC33" s="14"/>
      <c r="CD33" s="13" t="s">
        <v>8</v>
      </c>
      <c r="CF33" s="12"/>
      <c r="CG33" s="10">
        <f t="shared" si="23"/>
        <v>-13</v>
      </c>
      <c r="CH33" s="12">
        <f t="shared" si="24"/>
        <v>-81304.761904750005</v>
      </c>
      <c r="CI33" s="11">
        <f t="shared" si="25"/>
        <v>-1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W34" s="10">
        <v>15</v>
      </c>
      <c r="BX34" s="12">
        <v>164147.61904758</v>
      </c>
      <c r="BY34" s="10">
        <f t="shared" si="20"/>
        <v>7</v>
      </c>
      <c r="BZ34" s="12">
        <f t="shared" si="21"/>
        <v>80147.61904759999</v>
      </c>
      <c r="CA34" s="11">
        <f t="shared" si="22"/>
        <v>0.95413832199546511</v>
      </c>
      <c r="CC34" s="14"/>
      <c r="CD34" s="13" t="s">
        <v>7</v>
      </c>
      <c r="CF34" s="12"/>
      <c r="CG34" s="10">
        <f t="shared" si="23"/>
        <v>-15</v>
      </c>
      <c r="CH34" s="12">
        <f t="shared" si="24"/>
        <v>-164147.61904758</v>
      </c>
      <c r="CI34" s="11">
        <f t="shared" si="25"/>
        <v>-1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W36" s="10">
        <v>7</v>
      </c>
      <c r="BX36" s="12">
        <v>32230</v>
      </c>
      <c r="BY36" s="10">
        <f t="shared" si="20"/>
        <v>4</v>
      </c>
      <c r="BZ36" s="12">
        <f t="shared" si="21"/>
        <v>23950</v>
      </c>
      <c r="CA36" s="11">
        <f t="shared" si="22"/>
        <v>2.8925120772946862</v>
      </c>
      <c r="CC36" s="14"/>
      <c r="CD36" s="13" t="s">
        <v>5</v>
      </c>
      <c r="CF36" s="12"/>
      <c r="CG36" s="10">
        <f t="shared" si="23"/>
        <v>-7</v>
      </c>
      <c r="CH36" s="12">
        <f t="shared" si="24"/>
        <v>-32230</v>
      </c>
      <c r="CI36" s="11">
        <f t="shared" si="25"/>
        <v>-1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W37" s="10">
        <v>5</v>
      </c>
      <c r="BX37" s="12">
        <v>182375.23809522</v>
      </c>
      <c r="BY37" s="10">
        <f t="shared" ref="BY37:BY65" si="32">BW37-BO37</f>
        <v>2</v>
      </c>
      <c r="BZ37" s="12">
        <f t="shared" si="21"/>
        <v>78368.571428559997</v>
      </c>
      <c r="CA37" s="11">
        <f t="shared" si="22"/>
        <v>0.7534956550403662</v>
      </c>
      <c r="CC37" s="14"/>
      <c r="CD37" s="13" t="s">
        <v>4</v>
      </c>
      <c r="CF37" s="12"/>
      <c r="CG37" s="10">
        <f t="shared" si="23"/>
        <v>-5</v>
      </c>
      <c r="CH37" s="12">
        <f t="shared" si="24"/>
        <v>-182375.23809522</v>
      </c>
      <c r="CI37" s="11">
        <f t="shared" si="25"/>
        <v>-1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W38" s="10">
        <v>10</v>
      </c>
      <c r="BX38" s="12">
        <v>207619.04761901998</v>
      </c>
      <c r="BY38" s="10">
        <f t="shared" si="32"/>
        <v>-8</v>
      </c>
      <c r="BZ38" s="12">
        <f t="shared" si="21"/>
        <v>-103428.57142855995</v>
      </c>
      <c r="CA38" s="11">
        <f t="shared" si="22"/>
        <v>-0.33251684017146849</v>
      </c>
      <c r="CC38" s="14"/>
      <c r="CD38" s="13" t="s">
        <v>3</v>
      </c>
      <c r="CF38" s="12"/>
      <c r="CG38" s="10">
        <f t="shared" si="23"/>
        <v>-10</v>
      </c>
      <c r="CH38" s="12">
        <f t="shared" si="24"/>
        <v>-207619.04761901998</v>
      </c>
      <c r="CI38" s="11">
        <f t="shared" si="25"/>
        <v>-1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W39" s="10">
        <v>18</v>
      </c>
      <c r="BX39" s="12">
        <v>588761.90476187994</v>
      </c>
      <c r="BY39" s="10">
        <f t="shared" si="32"/>
        <v>3</v>
      </c>
      <c r="BZ39" s="12">
        <f t="shared" si="21"/>
        <v>59714.285714279977</v>
      </c>
      <c r="CA39" s="11">
        <f t="shared" si="22"/>
        <v>0.1128712871287061</v>
      </c>
      <c r="CC39" s="14"/>
      <c r="CD39" s="13" t="s">
        <v>2</v>
      </c>
      <c r="CF39" s="12"/>
      <c r="CG39" s="10">
        <f t="shared" si="23"/>
        <v>-18</v>
      </c>
      <c r="CH39" s="12">
        <f t="shared" si="24"/>
        <v>-588761.90476187994</v>
      </c>
      <c r="CI39" s="11">
        <f t="shared" si="25"/>
        <v>-1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>
        <v>228</v>
      </c>
      <c r="BX40" s="7">
        <v>1428441.4285708</v>
      </c>
      <c r="BY40" s="27">
        <f t="shared" si="32"/>
        <v>43</v>
      </c>
      <c r="BZ40" s="28">
        <f t="shared" si="21"/>
        <v>102251.90476180008</v>
      </c>
      <c r="CA40" s="29">
        <f t="shared" si="22"/>
        <v>7.7102030234802679E-2</v>
      </c>
      <c r="CC40" s="9" t="s">
        <v>12</v>
      </c>
      <c r="CD40" s="9"/>
      <c r="CE40" s="8"/>
      <c r="CF40" s="7"/>
      <c r="CG40" s="27">
        <f t="shared" si="23"/>
        <v>-228</v>
      </c>
      <c r="CH40" s="28">
        <f t="shared" si="24"/>
        <v>-1428441.4285708</v>
      </c>
      <c r="CI40" s="29">
        <f t="shared" si="25"/>
        <v>-1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1449</v>
      </c>
      <c r="BX41" s="33"/>
      <c r="BY41" s="10">
        <f t="shared" si="32"/>
        <v>109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-1449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1</v>
      </c>
      <c r="BP42" s="35"/>
      <c r="BQ42" s="10">
        <f t="shared" si="17"/>
        <v>-4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-1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W43" s="10">
        <v>82</v>
      </c>
      <c r="BX43" s="12">
        <v>77693.333332970011</v>
      </c>
      <c r="BY43" s="10">
        <f t="shared" si="32"/>
        <v>-5</v>
      </c>
      <c r="BZ43" s="12">
        <f t="shared" si="21"/>
        <v>-26776.190476129981</v>
      </c>
      <c r="CA43" s="11">
        <f t="shared" si="22"/>
        <v>-0.25630623649686435</v>
      </c>
      <c r="CC43" s="14"/>
      <c r="CD43" s="13" t="s">
        <v>10</v>
      </c>
      <c r="CF43" s="12"/>
      <c r="CG43" s="10">
        <f t="shared" si="23"/>
        <v>-82</v>
      </c>
      <c r="CH43" s="12">
        <f t="shared" si="24"/>
        <v>-77693.333332970011</v>
      </c>
      <c r="CI43" s="11">
        <f t="shared" si="25"/>
        <v>-1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W44" s="10">
        <v>70</v>
      </c>
      <c r="BX44" s="12">
        <v>65399.999999930013</v>
      </c>
      <c r="BY44" s="10">
        <f t="shared" si="32"/>
        <v>16</v>
      </c>
      <c r="BZ44" s="12">
        <f t="shared" si="21"/>
        <v>-2514.2857142699868</v>
      </c>
      <c r="CA44" s="11">
        <f t="shared" si="22"/>
        <v>-3.7021455616138239E-2</v>
      </c>
      <c r="CC44" s="14"/>
      <c r="CD44" s="13" t="s">
        <v>9</v>
      </c>
      <c r="CF44" s="12"/>
      <c r="CG44" s="10">
        <f t="shared" si="23"/>
        <v>-70</v>
      </c>
      <c r="CH44" s="12">
        <f t="shared" si="24"/>
        <v>-65399.999999930013</v>
      </c>
      <c r="CI44" s="11">
        <f t="shared" si="25"/>
        <v>-1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W45" s="10">
        <v>9</v>
      </c>
      <c r="BX45" s="12">
        <v>55628.571428559997</v>
      </c>
      <c r="BY45" s="10">
        <f t="shared" si="32"/>
        <v>0</v>
      </c>
      <c r="BZ45" s="12">
        <f t="shared" si="21"/>
        <v>1428.5714285699942</v>
      </c>
      <c r="CA45" s="11">
        <f t="shared" si="22"/>
        <v>2.6357406431185566E-2</v>
      </c>
      <c r="CC45" s="14"/>
      <c r="CD45" s="13" t="s">
        <v>8</v>
      </c>
      <c r="CF45" s="12"/>
      <c r="CG45" s="10">
        <f t="shared" si="23"/>
        <v>-9</v>
      </c>
      <c r="CH45" s="12">
        <f t="shared" si="24"/>
        <v>-55628.571428559997</v>
      </c>
      <c r="CI45" s="11">
        <f t="shared" si="25"/>
        <v>-1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W46" s="10">
        <v>13</v>
      </c>
      <c r="BX46" s="12">
        <v>168285.71428568001</v>
      </c>
      <c r="BY46" s="10">
        <f t="shared" si="32"/>
        <v>1</v>
      </c>
      <c r="BZ46" s="12">
        <f t="shared" si="21"/>
        <v>40857.142857140017</v>
      </c>
      <c r="CA46" s="11">
        <f t="shared" si="22"/>
        <v>0.32062780269063978</v>
      </c>
      <c r="CC46" s="14"/>
      <c r="CD46" s="13" t="s">
        <v>7</v>
      </c>
      <c r="CF46" s="12"/>
      <c r="CG46" s="10">
        <f t="shared" si="23"/>
        <v>-13</v>
      </c>
      <c r="CH46" s="12">
        <f t="shared" si="24"/>
        <v>-168285.71428568001</v>
      </c>
      <c r="CI46" s="11">
        <f t="shared" si="25"/>
        <v>-1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-3</v>
      </c>
      <c r="BZ48" s="12">
        <f t="shared" si="21"/>
        <v>-2880</v>
      </c>
      <c r="CA48" s="11">
        <f t="shared" si="22"/>
        <v>-0.31406761177753545</v>
      </c>
      <c r="CC48" s="14"/>
      <c r="CD48" s="13" t="s">
        <v>5</v>
      </c>
      <c r="CF48" s="12"/>
      <c r="CG48" s="10">
        <f t="shared" si="23"/>
        <v>-1</v>
      </c>
      <c r="CH48" s="12">
        <f t="shared" si="24"/>
        <v>-6290</v>
      </c>
      <c r="CI48" s="11">
        <f t="shared" si="25"/>
        <v>-1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W49" s="10">
        <v>3</v>
      </c>
      <c r="BX49" s="12">
        <v>122933.33333332</v>
      </c>
      <c r="BY49" s="10">
        <f t="shared" si="32"/>
        <v>-3</v>
      </c>
      <c r="BZ49" s="12">
        <f t="shared" si="21"/>
        <v>-22209.523809519989</v>
      </c>
      <c r="CA49" s="11">
        <f t="shared" si="22"/>
        <v>-0.15301837270340385</v>
      </c>
      <c r="CC49" s="14"/>
      <c r="CD49" s="13" t="s">
        <v>4</v>
      </c>
      <c r="CF49" s="12"/>
      <c r="CG49" s="10">
        <f t="shared" si="23"/>
        <v>-3</v>
      </c>
      <c r="CH49" s="12">
        <f t="shared" si="24"/>
        <v>-122933.33333332</v>
      </c>
      <c r="CI49" s="11">
        <f t="shared" si="25"/>
        <v>-1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W50" s="10">
        <v>13</v>
      </c>
      <c r="BX50" s="12">
        <v>216857.14285710998</v>
      </c>
      <c r="BY50" s="10">
        <f t="shared" si="32"/>
        <v>2</v>
      </c>
      <c r="BZ50" s="12">
        <f t="shared" si="21"/>
        <v>22761.90476189999</v>
      </c>
      <c r="CA50" s="11">
        <f t="shared" si="22"/>
        <v>0.11727183513247522</v>
      </c>
      <c r="CC50" s="14"/>
      <c r="CD50" s="13" t="s">
        <v>3</v>
      </c>
      <c r="CF50" s="12"/>
      <c r="CG50" s="10">
        <f t="shared" si="23"/>
        <v>-13</v>
      </c>
      <c r="CH50" s="12">
        <f t="shared" si="24"/>
        <v>-216857.14285710998</v>
      </c>
      <c r="CI50" s="11">
        <f t="shared" si="25"/>
        <v>-1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W51" s="10">
        <v>17</v>
      </c>
      <c r="BX51" s="12">
        <v>630761.90476187994</v>
      </c>
      <c r="BY51" s="10">
        <f t="shared" si="32"/>
        <v>-1</v>
      </c>
      <c r="BZ51" s="12">
        <f t="shared" si="21"/>
        <v>-8476.1904761800542</v>
      </c>
      <c r="CA51" s="11">
        <f t="shared" si="22"/>
        <v>-1.3259833134668575E-2</v>
      </c>
      <c r="CC51" s="14"/>
      <c r="CD51" s="13" t="s">
        <v>2</v>
      </c>
      <c r="CF51" s="12"/>
      <c r="CG51" s="10">
        <f t="shared" si="23"/>
        <v>-17</v>
      </c>
      <c r="CH51" s="12">
        <f t="shared" si="24"/>
        <v>-630761.90476187994</v>
      </c>
      <c r="CI51" s="11">
        <f t="shared" si="25"/>
        <v>-1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>
        <v>208</v>
      </c>
      <c r="BX52" s="7">
        <v>1343849.9999994501</v>
      </c>
      <c r="BY52" s="27">
        <f t="shared" si="32"/>
        <v>7</v>
      </c>
      <c r="BZ52" s="28">
        <f t="shared" si="21"/>
        <v>2191.4285715101287</v>
      </c>
      <c r="CA52" s="29">
        <f t="shared" si="22"/>
        <v>1.6333727657534885E-3</v>
      </c>
      <c r="CC52" s="9" t="s">
        <v>11</v>
      </c>
      <c r="CD52" s="9"/>
      <c r="CE52" s="8"/>
      <c r="CF52" s="7"/>
      <c r="CG52" s="27">
        <f t="shared" si="23"/>
        <v>-208</v>
      </c>
      <c r="CH52" s="28">
        <f t="shared" si="24"/>
        <v>-1343849.9999994501</v>
      </c>
      <c r="CI52" s="29">
        <f t="shared" si="25"/>
        <v>-1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0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W55" s="10">
        <v>113</v>
      </c>
      <c r="BX55" s="12">
        <v>119877.14285659992</v>
      </c>
      <c r="BY55" s="10">
        <f t="shared" si="32"/>
        <v>22</v>
      </c>
      <c r="BZ55" s="12">
        <f t="shared" si="21"/>
        <v>33260.952380839881</v>
      </c>
      <c r="CA55" s="11">
        <f t="shared" si="22"/>
        <v>0.38400387038665845</v>
      </c>
      <c r="CC55" s="14"/>
      <c r="CD55" s="13" t="s">
        <v>10</v>
      </c>
      <c r="CF55" s="12"/>
      <c r="CG55" s="10">
        <f t="shared" si="23"/>
        <v>-113</v>
      </c>
      <c r="CH55" s="12">
        <f t="shared" si="24"/>
        <v>-119877.14285659992</v>
      </c>
      <c r="CI55" s="11">
        <f t="shared" si="25"/>
        <v>-1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W56" s="10">
        <v>51</v>
      </c>
      <c r="BX56" s="12">
        <v>67355.238095140012</v>
      </c>
      <c r="BY56" s="10">
        <f t="shared" si="32"/>
        <v>-8</v>
      </c>
      <c r="BZ56" s="12">
        <f t="shared" si="21"/>
        <v>10488.57142854001</v>
      </c>
      <c r="CA56" s="11">
        <f t="shared" si="22"/>
        <v>0.18444146709060327</v>
      </c>
      <c r="CC56" s="14"/>
      <c r="CD56" s="13" t="s">
        <v>9</v>
      </c>
      <c r="CF56" s="12"/>
      <c r="CG56" s="10">
        <f t="shared" si="23"/>
        <v>-51</v>
      </c>
      <c r="CH56" s="12">
        <f t="shared" si="24"/>
        <v>-67355.238095140012</v>
      </c>
      <c r="CI56" s="11">
        <f t="shared" si="25"/>
        <v>-1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W57" s="10">
        <v>12</v>
      </c>
      <c r="BX57" s="12">
        <v>77028.571428569994</v>
      </c>
      <c r="BY57" s="10">
        <f t="shared" si="32"/>
        <v>3</v>
      </c>
      <c r="BZ57" s="12">
        <f t="shared" si="21"/>
        <v>19971.428571439996</v>
      </c>
      <c r="CA57" s="11">
        <f t="shared" si="22"/>
        <v>0.35002503755661363</v>
      </c>
      <c r="CC57" s="14"/>
      <c r="CD57" s="13" t="s">
        <v>8</v>
      </c>
      <c r="CF57" s="12"/>
      <c r="CG57" s="10">
        <f t="shared" si="23"/>
        <v>-12</v>
      </c>
      <c r="CH57" s="12">
        <f t="shared" si="24"/>
        <v>-77028.571428569994</v>
      </c>
      <c r="CI57" s="11">
        <f t="shared" si="25"/>
        <v>-1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W58" s="10">
        <v>13</v>
      </c>
      <c r="BX58" s="12">
        <v>155904.76190472004</v>
      </c>
      <c r="BY58" s="10">
        <f t="shared" si="32"/>
        <v>1</v>
      </c>
      <c r="BZ58" s="12">
        <f t="shared" si="21"/>
        <v>14190.476190470043</v>
      </c>
      <c r="CA58" s="11">
        <f t="shared" si="22"/>
        <v>0.10013440860213239</v>
      </c>
      <c r="CC58" s="14"/>
      <c r="CD58" s="13" t="s">
        <v>7</v>
      </c>
      <c r="CF58" s="12"/>
      <c r="CG58" s="10">
        <f t="shared" si="23"/>
        <v>-13</v>
      </c>
      <c r="CH58" s="12">
        <f t="shared" si="24"/>
        <v>-155904.76190472004</v>
      </c>
      <c r="CI58" s="11">
        <f t="shared" si="25"/>
        <v>-1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W60" s="10">
        <v>6</v>
      </c>
      <c r="BX60" s="12">
        <v>18550</v>
      </c>
      <c r="BY60" s="10">
        <f t="shared" si="32"/>
        <v>-1</v>
      </c>
      <c r="BZ60" s="12">
        <f t="shared" si="21"/>
        <v>-6280</v>
      </c>
      <c r="CA60" s="11">
        <f t="shared" si="22"/>
        <v>-0.25291985501409586</v>
      </c>
      <c r="CC60" s="14"/>
      <c r="CD60" s="13" t="s">
        <v>5</v>
      </c>
      <c r="CF60" s="12"/>
      <c r="CG60" s="10">
        <f t="shared" si="23"/>
        <v>-6</v>
      </c>
      <c r="CH60" s="12">
        <f t="shared" si="24"/>
        <v>-18550</v>
      </c>
      <c r="CI60" s="11">
        <f t="shared" si="25"/>
        <v>-1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W61" s="10">
        <v>3</v>
      </c>
      <c r="BX61" s="12">
        <v>126861.90476189001</v>
      </c>
      <c r="BY61" s="10">
        <f t="shared" si="32"/>
        <v>-1</v>
      </c>
      <c r="BZ61" s="12">
        <f t="shared" si="21"/>
        <v>4385.7142857099971</v>
      </c>
      <c r="CA61" s="11">
        <f t="shared" si="22"/>
        <v>3.580870917570677E-2</v>
      </c>
      <c r="CC61" s="14"/>
      <c r="CD61" s="13" t="s">
        <v>4</v>
      </c>
      <c r="CF61" s="12"/>
      <c r="CG61" s="10">
        <f t="shared" si="23"/>
        <v>-3</v>
      </c>
      <c r="CH61" s="12">
        <f t="shared" si="24"/>
        <v>-126861.90476189001</v>
      </c>
      <c r="CI61" s="11">
        <f t="shared" si="25"/>
        <v>-1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W62" s="10">
        <v>11</v>
      </c>
      <c r="BX62" s="12">
        <v>208952.38095234003</v>
      </c>
      <c r="BY62" s="10">
        <f t="shared" si="32"/>
        <v>-2</v>
      </c>
      <c r="BZ62" s="12">
        <f t="shared" si="21"/>
        <v>-52666.666666659963</v>
      </c>
      <c r="CA62" s="11">
        <f t="shared" si="22"/>
        <v>-0.20131052056790327</v>
      </c>
      <c r="CC62" s="14"/>
      <c r="CD62" s="13" t="s">
        <v>3</v>
      </c>
      <c r="CF62" s="12"/>
      <c r="CG62" s="10">
        <f t="shared" si="23"/>
        <v>-11</v>
      </c>
      <c r="CH62" s="12">
        <f t="shared" si="24"/>
        <v>-208952.38095234003</v>
      </c>
      <c r="CI62" s="11">
        <f t="shared" si="25"/>
        <v>-1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W63" s="10">
        <v>11</v>
      </c>
      <c r="BX63" s="12">
        <v>348476.19047617994</v>
      </c>
      <c r="BY63" s="10">
        <f t="shared" si="32"/>
        <v>0</v>
      </c>
      <c r="BZ63" s="12">
        <f t="shared" si="21"/>
        <v>-47385.714285690046</v>
      </c>
      <c r="CA63" s="11">
        <f t="shared" si="22"/>
        <v>-0.11970263800502561</v>
      </c>
      <c r="CC63" s="14"/>
      <c r="CD63" s="13" t="s">
        <v>2</v>
      </c>
      <c r="CF63" s="12"/>
      <c r="CG63" s="10">
        <f t="shared" si="23"/>
        <v>-11</v>
      </c>
      <c r="CH63" s="12">
        <f t="shared" si="24"/>
        <v>-348476.19047617994</v>
      </c>
      <c r="CI63" s="11">
        <f t="shared" si="25"/>
        <v>-1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>
        <v>220</v>
      </c>
      <c r="BX64" s="7">
        <v>1123006.1904754401</v>
      </c>
      <c r="BY64" s="27">
        <f t="shared" si="32"/>
        <v>14</v>
      </c>
      <c r="BZ64" s="28">
        <f t="shared" si="21"/>
        <v>-24035.238095349865</v>
      </c>
      <c r="CA64" s="29">
        <f t="shared" si="22"/>
        <v>-2.0954115079607628E-2</v>
      </c>
      <c r="CC64" s="9" t="s">
        <v>1</v>
      </c>
      <c r="CD64" s="9"/>
      <c r="CE64" s="8"/>
      <c r="CF64" s="7"/>
      <c r="CG64" s="27">
        <f t="shared" si="23"/>
        <v>-220</v>
      </c>
      <c r="CH64" s="28">
        <f t="shared" si="24"/>
        <v>-1123006.1904754401</v>
      </c>
      <c r="CI64" s="29">
        <f t="shared" si="25"/>
        <v>-1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>
        <v>1787</v>
      </c>
      <c r="BX65" s="2">
        <v>13836733.809519703</v>
      </c>
      <c r="BY65" s="6">
        <f t="shared" si="32"/>
        <v>198</v>
      </c>
      <c r="BZ65" s="5">
        <f t="shared" si="21"/>
        <v>-15913.333333348855</v>
      </c>
      <c r="CA65" s="30">
        <f t="shared" si="22"/>
        <v>-1.1487575745808964E-3</v>
      </c>
      <c r="CC65" s="4" t="s">
        <v>0</v>
      </c>
      <c r="CD65" s="4"/>
      <c r="CE65" s="3"/>
      <c r="CF65" s="2"/>
      <c r="CG65" s="6">
        <f t="shared" si="23"/>
        <v>-1787</v>
      </c>
      <c r="CH65" s="5">
        <f t="shared" si="24"/>
        <v>-13836733.809519703</v>
      </c>
      <c r="CI65" s="30">
        <f t="shared" si="25"/>
        <v>-1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2026-06-08T02:56:49Z</dcterms:modified>
</cp:coreProperties>
</file>