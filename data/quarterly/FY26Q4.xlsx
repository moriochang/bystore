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C31EB115-C919-0E45-A498-A6E2069C6246}" xr6:coauthVersionLast="47" xr6:coauthVersionMax="47" xr10:uidLastSave="{00000000-0000-0000-0000-000000000000}"/>
  <bookViews>
    <workbookView xWindow="2820" yWindow="3840" windowWidth="17760" windowHeight="15980" xr2:uid="{021FACC0-6583-9245-81B4-0A7BE4D712CF}"/>
  </bookViews>
  <sheets>
    <sheet name="26Q4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0" i="2" l="1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<sst xmlns="http://schemas.openxmlformats.org/spreadsheetml/2006/main" count="772" uniqueCount="25">
  <si>
    <t>總計</t>
  </si>
  <si>
    <t>84 合計</t>
  </si>
  <si>
    <t>iPhone</t>
  </si>
  <si>
    <t>iPad</t>
  </si>
  <si>
    <t>CPU</t>
  </si>
  <si>
    <t>Care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</si>
  <si>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</si>
  <si>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</si>
  <si>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</si>
  <si>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</si>
  <si>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</si>
  <si>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</si>
  <si>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</si>
  <si>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</si>
  <si>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</si>
  <si>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</si>
  <si>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</si>
  <si>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</si>
  <si>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</si>
  <si>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</si>
  <si>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</si>
  <si>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26Q4W1</t>
    <phoneticPr fontId="2" type="noConversion"/>
  </si>
  <si>
    <t>06/28~07/04</t>
    <phoneticPr fontId="2" type="noConversion"/>
  </si>
  <si>
    <t>26Q4W2</t>
    <phoneticPr fontId="2" type="noConversion"/>
  </si>
  <si>
    <t>07/05-07/11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</si>
</sst>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2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"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0"/>
  <sheetViews>
    <sheetView tabSelected="1" topLeftCell="A14" zoomScale="75" workbookViewId="0">
      <pane xSplit="1" topLeftCell="C1" activePane="topRight" state="frozen"/>
      <selection pane="topRight" activeCell="L38" sqref="L38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49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21</v>
      </c>
      <c r="B1" s="26"/>
      <c r="D1" s="25"/>
      <c r="I1" s="26" t="s">
        <v>23</v>
      </c>
      <c r="J1" s="26"/>
      <c r="L1" s="25"/>
      <c r="Q1" s="26"/>
      <c r="R1" s="26"/>
      <c r="T1" s="25"/>
      <c r="Y1" s="26"/>
      <c r="Z1" s="26"/>
      <c r="AB1" s="25"/>
      <c r="AG1" s="26"/>
      <c r="AH1" s="26"/>
      <c r="AJ1" s="41"/>
      <c r="AO1" s="26"/>
      <c r="AP1" s="26"/>
      <c r="AR1" s="25"/>
      <c r="AW1" s="26"/>
      <c r="AX1" s="26"/>
      <c r="AZ1" s="25"/>
      <c r="BE1" s="26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22</v>
      </c>
      <c r="B2" s="22"/>
      <c r="D2" s="21"/>
      <c r="I2" s="23" t="s">
        <v>24</v>
      </c>
      <c r="K2" s="23"/>
      <c r="M2" s="23"/>
      <c r="O2" s="23"/>
      <c r="Q2" s="23"/>
      <c r="S2" s="23"/>
      <c r="U2" s="23"/>
      <c r="W2" s="23"/>
      <c r="Y2" s="23"/>
      <c r="Z2" s="22"/>
      <c r="AB2" s="21"/>
      <c r="AG2" s="23"/>
      <c r="AJ2" s="42"/>
      <c r="AK2" s="22"/>
      <c r="AL2" s="22"/>
      <c r="AN2" s="21"/>
      <c r="AO2" s="23"/>
      <c r="AQ2" s="22"/>
      <c r="AR2" s="22"/>
      <c r="AT2" s="21"/>
      <c r="AY2" s="22"/>
      <c r="AZ2" s="22"/>
      <c r="BB2" s="21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17</v>
      </c>
      <c r="B4" s="19" t="s">
        <v>16</v>
      </c>
      <c r="C4" s="18" t="s">
        <v>15</v>
      </c>
      <c r="D4" s="17" t="s">
        <v>14</v>
      </c>
      <c r="E4" s="16" t="s">
        <v>13</v>
      </c>
      <c r="F4" s="16" t="s">
        <v>13</v>
      </c>
      <c r="G4" s="16" t="s">
        <v>13</v>
      </c>
      <c r="I4" s="19" t="s">
        <v>17</v>
      </c>
      <c r="J4" s="19" t="s">
        <v>16</v>
      </c>
      <c r="K4" s="18" t="s">
        <v>15</v>
      </c>
      <c r="L4" s="17" t="s">
        <v>14</v>
      </c>
      <c r="M4" s="16" t="s">
        <v>13</v>
      </c>
      <c r="N4" s="16" t="s">
        <v>13</v>
      </c>
      <c r="O4" s="16" t="s">
        <v>13</v>
      </c>
      <c r="Q4" s="19" t="s">
        <v>17</v>
      </c>
      <c r="R4" s="19" t="s">
        <v>16</v>
      </c>
      <c r="S4" s="18" t="s">
        <v>15</v>
      </c>
      <c r="T4" s="17" t="s">
        <v>14</v>
      </c>
      <c r="U4" s="16" t="s">
        <v>13</v>
      </c>
      <c r="V4" s="16" t="s">
        <v>13</v>
      </c>
      <c r="W4" s="16" t="s">
        <v>13</v>
      </c>
      <c r="Y4" s="19" t="s">
        <v>17</v>
      </c>
      <c r="Z4" s="18" t="s">
        <v>15</v>
      </c>
      <c r="AA4" s="17" t="s">
        <v>14</v>
      </c>
      <c r="AB4" s="17"/>
      <c r="AC4" s="16" t="s">
        <v>13</v>
      </c>
      <c r="AD4" s="16" t="s">
        <v>13</v>
      </c>
      <c r="AE4" s="16" t="s">
        <v>13</v>
      </c>
      <c r="AG4" s="19" t="s">
        <v>17</v>
      </c>
      <c r="AH4" s="19" t="s">
        <v>16</v>
      </c>
      <c r="AI4" s="18" t="s">
        <v>15</v>
      </c>
      <c r="AJ4" s="17" t="s">
        <v>14</v>
      </c>
      <c r="AK4" s="16" t="s">
        <v>13</v>
      </c>
      <c r="AL4" s="16" t="s">
        <v>13</v>
      </c>
      <c r="AM4" s="16" t="s">
        <v>13</v>
      </c>
      <c r="AO4" s="19" t="s">
        <v>17</v>
      </c>
      <c r="AP4" s="19" t="s">
        <v>16</v>
      </c>
      <c r="AQ4" s="18" t="s">
        <v>15</v>
      </c>
      <c r="AR4" s="17" t="s">
        <v>14</v>
      </c>
      <c r="AS4" s="16" t="s">
        <v>13</v>
      </c>
      <c r="AT4" s="16" t="s">
        <v>13</v>
      </c>
      <c r="AU4" s="16" t="s">
        <v>13</v>
      </c>
      <c r="AW4" s="19" t="s">
        <v>17</v>
      </c>
      <c r="AX4" s="19" t="s">
        <v>16</v>
      </c>
      <c r="AY4" s="18" t="s">
        <v>15</v>
      </c>
      <c r="AZ4" s="17" t="s">
        <v>14</v>
      </c>
      <c r="BA4" s="16" t="s">
        <v>13</v>
      </c>
      <c r="BB4" s="16" t="s">
        <v>13</v>
      </c>
      <c r="BC4" s="16" t="s">
        <v>13</v>
      </c>
      <c r="BE4" s="19" t="s">
        <v>17</v>
      </c>
      <c r="BF4" s="19" t="s">
        <v>16</v>
      </c>
      <c r="BG4" s="18" t="s">
        <v>15</v>
      </c>
      <c r="BH4" s="17" t="s">
        <v>14</v>
      </c>
      <c r="BI4" s="16" t="s">
        <v>13</v>
      </c>
      <c r="BJ4" s="16" t="s">
        <v>13</v>
      </c>
      <c r="BK4" s="16" t="s">
        <v>13</v>
      </c>
      <c r="BM4" s="19" t="s">
        <v>17</v>
      </c>
      <c r="BN4" s="19" t="s">
        <v>16</v>
      </c>
      <c r="BO4" s="18" t="s">
        <v>15</v>
      </c>
      <c r="BP4" s="17" t="s">
        <v>14</v>
      </c>
      <c r="BQ4" s="16" t="s">
        <v>13</v>
      </c>
      <c r="BR4" s="16" t="s">
        <v>13</v>
      </c>
      <c r="BS4" s="16" t="s">
        <v>13</v>
      </c>
      <c r="BU4" s="19" t="s">
        <v>17</v>
      </c>
      <c r="BV4" s="19" t="s">
        <v>16</v>
      </c>
      <c r="BW4" s="18" t="s">
        <v>15</v>
      </c>
      <c r="BX4" s="17" t="s">
        <v>14</v>
      </c>
      <c r="BY4" s="16" t="s">
        <v>13</v>
      </c>
      <c r="BZ4" s="16" t="s">
        <v>13</v>
      </c>
      <c r="CA4" s="16" t="s">
        <v>13</v>
      </c>
      <c r="CC4" s="19" t="s">
        <v>17</v>
      </c>
      <c r="CD4" s="19" t="s">
        <v>16</v>
      </c>
      <c r="CE4" s="18" t="s">
        <v>15</v>
      </c>
      <c r="CF4" s="17" t="s">
        <v>14</v>
      </c>
      <c r="CG4" s="16" t="s">
        <v>13</v>
      </c>
      <c r="CH4" s="16" t="s">
        <v>13</v>
      </c>
      <c r="CI4" s="16" t="s">
        <v>13</v>
      </c>
      <c r="CK4" s="19" t="s">
        <v>17</v>
      </c>
      <c r="CL4" s="19" t="s">
        <v>16</v>
      </c>
      <c r="CM4" s="18" t="s">
        <v>15</v>
      </c>
      <c r="CN4" s="17" t="s">
        <v>14</v>
      </c>
      <c r="CO4" s="16" t="s">
        <v>13</v>
      </c>
      <c r="CP4" s="16" t="s">
        <v>13</v>
      </c>
      <c r="CQ4" s="16" t="s">
        <v>13</v>
      </c>
      <c r="CS4" s="19" t="s">
        <v>17</v>
      </c>
      <c r="CT4" s="19" t="s">
        <v>16</v>
      </c>
      <c r="CU4" s="18" t="s">
        <v>15</v>
      </c>
      <c r="CV4" s="17" t="s">
        <v>14</v>
      </c>
      <c r="CW4" s="16" t="s">
        <v>13</v>
      </c>
      <c r="CX4" s="16" t="s">
        <v>13</v>
      </c>
      <c r="CY4" s="16" t="s">
        <v>13</v>
      </c>
    </row>
    <row r="5" spans="1:103" s="39" customFormat="1" ht="22" customHeight="1">
      <c r="A5" s="14">
        <v>75</v>
      </c>
      <c r="B5" s="32" t="s">
        <v>19</v>
      </c>
      <c r="C5" s="40">
        <v>6261</v>
      </c>
      <c r="D5" s="1"/>
      <c r="E5" s="37"/>
      <c r="F5" s="37"/>
      <c r="G5" s="37"/>
      <c r="H5" s="1"/>
      <c r="I5" s="14">
        <v>75</v>
      </c>
      <c r="J5" s="32" t="s">
        <v>19</v>
      </c>
      <c r="K5" s="40">
        <v>4160</v>
      </c>
      <c r="L5" s="1"/>
      <c r="M5" s="10">
        <f t="shared" ref="M5:N60" si="0">K5-C5</f>
        <v>-2101</v>
      </c>
      <c r="N5" s="12">
        <f t="shared" si="0"/>
        <v>0</v>
      </c>
      <c r="O5" s="11" t="e">
        <f t="shared" ref="O5:O60" si="1">(L5-D5)/D5</f>
        <v>#DIV/0!</v>
      </c>
      <c r="P5" s="1"/>
      <c r="Q5" s="14">
        <v>75</v>
      </c>
      <c r="R5" s="32" t="s">
        <v>19</v>
      </c>
      <c r="S5" s="40"/>
      <c r="T5" s="1"/>
      <c r="U5" s="10">
        <f t="shared" ref="U5:U60" si="2">S5-K5</f>
        <v>-4160</v>
      </c>
      <c r="V5" s="12">
        <f t="shared" ref="V5:V60" si="3">T5-L5</f>
        <v>0</v>
      </c>
      <c r="W5" s="11" t="e">
        <f t="shared" ref="W5:W60" si="4">(T5-L5)/L5</f>
        <v>#DIV/0!</v>
      </c>
      <c r="X5" s="1"/>
      <c r="Y5" s="14">
        <v>75</v>
      </c>
      <c r="Z5" s="32"/>
      <c r="AA5" s="40"/>
      <c r="AB5" s="1"/>
      <c r="AC5" s="10">
        <f t="shared" ref="AC5:AD60" si="5">AA5-S5</f>
        <v>0</v>
      </c>
      <c r="AD5" s="12">
        <f t="shared" si="5"/>
        <v>0</v>
      </c>
      <c r="AE5" s="11" t="e">
        <f t="shared" ref="AE5:AE60" si="6">(AB5-T5)/T5</f>
        <v>#DIV/0!</v>
      </c>
      <c r="AF5" s="1"/>
      <c r="AG5" s="14">
        <v>75</v>
      </c>
      <c r="AH5" s="32" t="s">
        <v>19</v>
      </c>
      <c r="AI5" s="32"/>
      <c r="AJ5" s="43"/>
      <c r="AK5" s="10">
        <f t="shared" ref="AK5:AL60" si="7">AI5-AA5</f>
        <v>0</v>
      </c>
      <c r="AL5" s="12">
        <f t="shared" si="7"/>
        <v>0</v>
      </c>
      <c r="AM5" s="11" t="e">
        <f t="shared" ref="AM5:AM60" si="8">(AJ5-AB5)/AB5</f>
        <v>#DIV/0!</v>
      </c>
      <c r="AN5" s="1"/>
      <c r="AO5" s="14">
        <v>75</v>
      </c>
      <c r="AP5" s="32" t="s">
        <v>19</v>
      </c>
      <c r="AQ5" s="40"/>
      <c r="AR5" s="1"/>
      <c r="AS5" s="10">
        <f t="shared" ref="AS5:AT60" si="9">AQ5-AI5</f>
        <v>0</v>
      </c>
      <c r="AT5" s="12">
        <f t="shared" si="9"/>
        <v>0</v>
      </c>
      <c r="AU5" s="11" t="e">
        <f t="shared" ref="AU5:AU60" si="10">(AR5-AJ5)/AJ5</f>
        <v>#DIV/0!</v>
      </c>
      <c r="AV5" s="1"/>
      <c r="AW5" s="14">
        <v>75</v>
      </c>
      <c r="AX5" s="32" t="s">
        <v>19</v>
      </c>
      <c r="AY5" s="40"/>
      <c r="AZ5" s="1"/>
      <c r="BA5" s="10">
        <f t="shared" ref="BA5:BA60" si="11">AY5-AQ5</f>
        <v>0</v>
      </c>
      <c r="BB5" s="12">
        <f t="shared" ref="BB5:BB60" si="12">AZ5-AR5</f>
        <v>0</v>
      </c>
      <c r="BC5" s="11" t="e">
        <f t="shared" ref="BC5:BC60" si="13">(AZ5-AR5)/AR5</f>
        <v>#DIV/0!</v>
      </c>
      <c r="BD5" s="38"/>
      <c r="BE5" s="14">
        <v>75</v>
      </c>
      <c r="BF5" s="32" t="s">
        <v>19</v>
      </c>
      <c r="BG5" s="40"/>
      <c r="BH5" s="1"/>
      <c r="BI5" s="10">
        <f t="shared" ref="BI5:BI60" si="14">BG5-AY5</f>
        <v>0</v>
      </c>
      <c r="BJ5" s="12">
        <f t="shared" ref="BJ5:BJ60" si="15">BH5-AZ5</f>
        <v>0</v>
      </c>
      <c r="BK5" s="11" t="e">
        <f t="shared" ref="BK5:BK60" si="16">(BH5-AZ5)/AZ5</f>
        <v>#DIV/0!</v>
      </c>
      <c r="BL5" s="38"/>
      <c r="BM5" s="14">
        <v>75</v>
      </c>
      <c r="BN5" s="32" t="s">
        <v>19</v>
      </c>
      <c r="BO5" s="40"/>
      <c r="BP5" s="1"/>
      <c r="BQ5" s="10">
        <f t="shared" ref="BQ5:BQ60" si="17">BO5-BG5</f>
        <v>0</v>
      </c>
      <c r="BR5" s="12">
        <f t="shared" ref="BR5:BR60" si="18">BP5-BH5</f>
        <v>0</v>
      </c>
      <c r="BS5" s="11" t="e">
        <f t="shared" ref="BS5:BS60" si="19">(BP5-BH5)/BH5</f>
        <v>#DIV/0!</v>
      </c>
      <c r="BT5" s="38"/>
      <c r="BU5" s="14">
        <v>75</v>
      </c>
      <c r="BV5" s="32" t="s">
        <v>19</v>
      </c>
      <c r="BW5" s="15"/>
      <c r="BX5" s="33"/>
      <c r="BY5" s="10">
        <f t="shared" ref="BY5:BY33" si="20">BW5-BO5</f>
        <v>0</v>
      </c>
      <c r="BZ5" s="12">
        <f t="shared" ref="BZ5:BZ60" si="21">BX5-BP5</f>
        <v>0</v>
      </c>
      <c r="CA5" s="11" t="e">
        <f t="shared" ref="CA5:CA60" si="22">(BX5-BP5)/BP5</f>
        <v>#DIV/0!</v>
      </c>
      <c r="CB5" s="38"/>
      <c r="CC5" s="14">
        <v>75</v>
      </c>
      <c r="CD5" s="32" t="s">
        <v>19</v>
      </c>
      <c r="CE5" s="15"/>
      <c r="CF5" s="33"/>
      <c r="CG5" s="10">
        <f t="shared" ref="CG5:CG60" si="23">CE5-BW5</f>
        <v>0</v>
      </c>
      <c r="CH5" s="12">
        <f t="shared" ref="CH5:CH60" si="24">CF5-BX5</f>
        <v>0</v>
      </c>
      <c r="CI5" s="11" t="e">
        <f t="shared" ref="CI5:CI60" si="25">(CF5-BX5)/BX5</f>
        <v>#DIV/0!</v>
      </c>
      <c r="CJ5" s="38"/>
      <c r="CK5" s="14">
        <v>75</v>
      </c>
      <c r="CL5" s="32" t="s">
        <v>19</v>
      </c>
      <c r="CM5" s="15"/>
      <c r="CN5" s="33"/>
      <c r="CO5" s="10">
        <f t="shared" ref="CO5:CO60" si="26">CM5-CE5</f>
        <v>0</v>
      </c>
      <c r="CP5" s="12">
        <f t="shared" ref="CP5:CP60" si="27">CN5-CF5</f>
        <v>0</v>
      </c>
      <c r="CQ5" s="11" t="e">
        <f t="shared" ref="CQ5:CQ60" si="28">(CN5-CF5)/CF5</f>
        <v>#DIV/0!</v>
      </c>
      <c r="CR5" s="38"/>
      <c r="CS5" s="14">
        <v>75</v>
      </c>
      <c r="CT5" s="32" t="s">
        <v>19</v>
      </c>
      <c r="CU5" s="15"/>
      <c r="CV5" s="33"/>
      <c r="CW5" s="10">
        <f t="shared" ref="CW5:CW60" si="29">CU5-CM5</f>
        <v>0</v>
      </c>
      <c r="CX5" s="12">
        <f t="shared" ref="CX5:CX60" si="30">CV5-CN5</f>
        <v>0</v>
      </c>
      <c r="CY5" s="11" t="e">
        <f t="shared" ref="CY5:CY60" si="31">(CV5-CN5)/CN5</f>
        <v>#DIV/0!</v>
      </c>
    </row>
    <row r="6" spans="1:103" s="15" customFormat="1" ht="22" customHeight="1">
      <c r="A6" s="14"/>
      <c r="B6" s="32" t="s">
        <v>20</v>
      </c>
      <c r="C6" s="15">
        <v>11</v>
      </c>
      <c r="D6" s="33"/>
      <c r="E6" s="34"/>
      <c r="F6" s="34"/>
      <c r="G6" s="34"/>
      <c r="I6" s="14"/>
      <c r="J6" s="32" t="s">
        <v>20</v>
      </c>
      <c r="L6" s="33"/>
      <c r="M6" s="10">
        <f t="shared" si="0"/>
        <v>-11</v>
      </c>
      <c r="N6" s="12">
        <f t="shared" si="0"/>
        <v>0</v>
      </c>
      <c r="O6" s="11" t="e">
        <f t="shared" si="1"/>
        <v>#DIV/0!</v>
      </c>
      <c r="Q6" s="14"/>
      <c r="R6" s="32" t="s">
        <v>20</v>
      </c>
      <c r="T6" s="33"/>
      <c r="U6" s="10">
        <f t="shared" si="2"/>
        <v>0</v>
      </c>
      <c r="V6" s="12">
        <f t="shared" si="3"/>
        <v>0</v>
      </c>
      <c r="W6" s="11" t="e">
        <f t="shared" si="4"/>
        <v>#DIV/0!</v>
      </c>
      <c r="Y6" s="14"/>
      <c r="Z6" s="32"/>
      <c r="AB6" s="33"/>
      <c r="AC6" s="10">
        <f t="shared" si="5"/>
        <v>0</v>
      </c>
      <c r="AD6" s="12">
        <f t="shared" si="5"/>
        <v>0</v>
      </c>
      <c r="AE6" s="11" t="e">
        <f t="shared" si="6"/>
        <v>#DIV/0!</v>
      </c>
      <c r="AG6" s="14"/>
      <c r="AH6" s="32" t="s">
        <v>20</v>
      </c>
      <c r="AI6" s="32"/>
      <c r="AJ6" s="44"/>
      <c r="AK6" s="10">
        <f t="shared" si="7"/>
        <v>0</v>
      </c>
      <c r="AL6" s="12">
        <f t="shared" si="7"/>
        <v>0</v>
      </c>
      <c r="AM6" s="11" t="e">
        <f t="shared" si="8"/>
        <v>#DIV/0!</v>
      </c>
      <c r="AO6" s="14"/>
      <c r="AP6" s="32" t="s">
        <v>20</v>
      </c>
      <c r="AR6" s="33"/>
      <c r="AS6" s="10">
        <f t="shared" si="9"/>
        <v>0</v>
      </c>
      <c r="AT6" s="12">
        <f t="shared" si="9"/>
        <v>0</v>
      </c>
      <c r="AU6" s="11" t="e">
        <f t="shared" si="10"/>
        <v>#DIV/0!</v>
      </c>
      <c r="AW6" s="14"/>
      <c r="AX6" s="32" t="s">
        <v>20</v>
      </c>
      <c r="AZ6" s="33"/>
      <c r="BA6" s="10">
        <f t="shared" si="11"/>
        <v>0</v>
      </c>
      <c r="BB6" s="12">
        <f t="shared" si="12"/>
        <v>0</v>
      </c>
      <c r="BC6" s="11" t="e">
        <f t="shared" si="13"/>
        <v>#DIV/0!</v>
      </c>
      <c r="BE6" s="14"/>
      <c r="BF6" s="32" t="s">
        <v>20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20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20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20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20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20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9</v>
      </c>
      <c r="C7" s="10">
        <v>193</v>
      </c>
      <c r="D7" s="12">
        <v>256952.38095148996</v>
      </c>
      <c r="F7" s="12"/>
      <c r="G7" s="11"/>
      <c r="I7" s="14"/>
      <c r="J7" s="13" t="s">
        <v>9</v>
      </c>
      <c r="K7" s="10">
        <v>159</v>
      </c>
      <c r="L7" s="12">
        <v>178482.85714225</v>
      </c>
      <c r="M7" s="10">
        <f t="shared" si="0"/>
        <v>-34</v>
      </c>
      <c r="N7" s="12">
        <f t="shared" si="0"/>
        <v>-78469.523809239967</v>
      </c>
      <c r="O7" s="11">
        <f t="shared" si="1"/>
        <v>-0.30538547071900546</v>
      </c>
      <c r="Q7" s="14"/>
      <c r="R7" s="13" t="s">
        <v>9</v>
      </c>
      <c r="T7" s="12"/>
      <c r="U7" s="10">
        <f t="shared" si="2"/>
        <v>-159</v>
      </c>
      <c r="V7" s="12">
        <f t="shared" si="3"/>
        <v>-178482.85714225</v>
      </c>
      <c r="W7" s="11">
        <f t="shared" si="4"/>
        <v>-1</v>
      </c>
      <c r="Y7" s="14"/>
      <c r="Z7" s="13"/>
      <c r="AB7" s="12">
        <v>201242.85714209004</v>
      </c>
      <c r="AC7" s="10">
        <f t="shared" si="5"/>
        <v>0</v>
      </c>
      <c r="AD7" s="12">
        <f t="shared" si="5"/>
        <v>201242.85714209004</v>
      </c>
      <c r="AE7" s="11" t="e">
        <f t="shared" si="6"/>
        <v>#DIV/0!</v>
      </c>
      <c r="AG7" s="14"/>
      <c r="AH7" s="13" t="s">
        <v>9</v>
      </c>
      <c r="AI7" s="13"/>
      <c r="AJ7" s="45"/>
      <c r="AK7" s="10">
        <f t="shared" si="7"/>
        <v>0</v>
      </c>
      <c r="AL7" s="12">
        <f t="shared" si="7"/>
        <v>-201242.85714209004</v>
      </c>
      <c r="AM7" s="11">
        <f t="shared" si="8"/>
        <v>-1</v>
      </c>
      <c r="AO7" s="14"/>
      <c r="AP7" s="13" t="s">
        <v>9</v>
      </c>
      <c r="AR7" s="12"/>
      <c r="AS7" s="10">
        <f t="shared" si="9"/>
        <v>0</v>
      </c>
      <c r="AT7" s="12">
        <f t="shared" si="9"/>
        <v>0</v>
      </c>
      <c r="AU7" s="11" t="e">
        <f t="shared" si="10"/>
        <v>#DIV/0!</v>
      </c>
      <c r="AW7" s="14"/>
      <c r="AX7" s="13" t="s">
        <v>9</v>
      </c>
      <c r="AZ7" s="12"/>
      <c r="BA7" s="10">
        <f t="shared" si="11"/>
        <v>0</v>
      </c>
      <c r="BB7" s="12">
        <f t="shared" si="12"/>
        <v>0</v>
      </c>
      <c r="BC7" s="11" t="e">
        <f t="shared" si="13"/>
        <v>#DIV/0!</v>
      </c>
      <c r="BE7" s="14"/>
      <c r="BF7" s="13" t="s">
        <v>9</v>
      </c>
      <c r="BH7" s="12"/>
      <c r="BI7" s="10">
        <f t="shared" si="14"/>
        <v>0</v>
      </c>
      <c r="BJ7" s="12">
        <f t="shared" si="15"/>
        <v>0</v>
      </c>
      <c r="BK7" s="11" t="e">
        <f t="shared" si="16"/>
        <v>#DIV/0!</v>
      </c>
      <c r="BM7" s="14"/>
      <c r="BN7" s="13" t="s">
        <v>9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9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9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9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9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8</v>
      </c>
      <c r="C8" s="10">
        <v>234</v>
      </c>
      <c r="D8" s="12">
        <v>286997.14285695989</v>
      </c>
      <c r="F8" s="12"/>
      <c r="G8" s="11"/>
      <c r="I8" s="14"/>
      <c r="J8" s="13" t="s">
        <v>8</v>
      </c>
      <c r="K8" s="10">
        <v>189</v>
      </c>
      <c r="L8" s="12">
        <v>267975.23809503997</v>
      </c>
      <c r="M8" s="10">
        <f t="shared" si="0"/>
        <v>-45</v>
      </c>
      <c r="N8" s="12">
        <f t="shared" si="0"/>
        <v>-19021.904761919926</v>
      </c>
      <c r="O8" s="11">
        <f t="shared" si="1"/>
        <v>-6.6279073626180629E-2</v>
      </c>
      <c r="Q8" s="14"/>
      <c r="R8" s="13" t="s">
        <v>8</v>
      </c>
      <c r="T8" s="12"/>
      <c r="U8" s="10">
        <f t="shared" si="2"/>
        <v>-189</v>
      </c>
      <c r="V8" s="12">
        <f t="shared" si="3"/>
        <v>-267975.23809503997</v>
      </c>
      <c r="W8" s="11">
        <f t="shared" si="4"/>
        <v>-1</v>
      </c>
      <c r="Y8" s="14"/>
      <c r="Z8" s="13"/>
      <c r="AB8" s="12">
        <v>475849.52380930987</v>
      </c>
      <c r="AC8" s="10">
        <f t="shared" si="5"/>
        <v>0</v>
      </c>
      <c r="AD8" s="12">
        <f t="shared" si="5"/>
        <v>475849.52380930987</v>
      </c>
      <c r="AE8" s="11" t="e">
        <f t="shared" si="6"/>
        <v>#DIV/0!</v>
      </c>
      <c r="AG8" s="14"/>
      <c r="AH8" s="13" t="s">
        <v>8</v>
      </c>
      <c r="AI8" s="13"/>
      <c r="AJ8" s="45"/>
      <c r="AK8" s="10">
        <f t="shared" si="7"/>
        <v>0</v>
      </c>
      <c r="AL8" s="12">
        <f t="shared" si="7"/>
        <v>-475849.52380930987</v>
      </c>
      <c r="AM8" s="11">
        <f t="shared" si="8"/>
        <v>-1</v>
      </c>
      <c r="AO8" s="14"/>
      <c r="AP8" s="13" t="s">
        <v>8</v>
      </c>
      <c r="AR8" s="12"/>
      <c r="AS8" s="10">
        <f t="shared" si="9"/>
        <v>0</v>
      </c>
      <c r="AT8" s="12">
        <f t="shared" si="9"/>
        <v>0</v>
      </c>
      <c r="AU8" s="11" t="e">
        <f t="shared" si="10"/>
        <v>#DIV/0!</v>
      </c>
      <c r="AW8" s="14"/>
      <c r="AX8" s="13" t="s">
        <v>8</v>
      </c>
      <c r="AZ8" s="12"/>
      <c r="BA8" s="10">
        <f t="shared" si="11"/>
        <v>0</v>
      </c>
      <c r="BB8" s="12">
        <f t="shared" si="12"/>
        <v>0</v>
      </c>
      <c r="BC8" s="11" t="e">
        <f t="shared" si="13"/>
        <v>#DIV/0!</v>
      </c>
      <c r="BE8" s="14"/>
      <c r="BF8" s="13" t="s">
        <v>8</v>
      </c>
      <c r="BH8" s="12"/>
      <c r="BI8" s="10">
        <f t="shared" si="14"/>
        <v>0</v>
      </c>
      <c r="BJ8" s="12">
        <f t="shared" si="15"/>
        <v>0</v>
      </c>
      <c r="BK8" s="11" t="e">
        <f t="shared" si="16"/>
        <v>#DIV/0!</v>
      </c>
      <c r="BM8" s="14"/>
      <c r="BN8" s="13" t="s">
        <v>8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8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8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8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8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7</v>
      </c>
      <c r="C9" s="10">
        <v>53</v>
      </c>
      <c r="D9" s="12">
        <v>343780.95238093002</v>
      </c>
      <c r="F9" s="12"/>
      <c r="G9" s="11"/>
      <c r="I9" s="14"/>
      <c r="J9" s="13" t="s">
        <v>7</v>
      </c>
      <c r="K9" s="10">
        <v>62</v>
      </c>
      <c r="L9" s="12">
        <v>412266.66666664998</v>
      </c>
      <c r="M9" s="10">
        <f t="shared" si="0"/>
        <v>9</v>
      </c>
      <c r="N9" s="12">
        <f t="shared" si="0"/>
        <v>68485.714285719965</v>
      </c>
      <c r="O9" s="11">
        <f t="shared" si="1"/>
        <v>0.19921323101645744</v>
      </c>
      <c r="Q9" s="14"/>
      <c r="R9" s="13" t="s">
        <v>7</v>
      </c>
      <c r="T9" s="12"/>
      <c r="U9" s="10">
        <f t="shared" si="2"/>
        <v>-62</v>
      </c>
      <c r="V9" s="12">
        <f t="shared" si="3"/>
        <v>-412266.66666664998</v>
      </c>
      <c r="W9" s="11">
        <f t="shared" si="4"/>
        <v>-1</v>
      </c>
      <c r="Y9" s="14"/>
      <c r="Z9" s="13"/>
      <c r="AB9" s="12">
        <v>426009.52380950004</v>
      </c>
      <c r="AC9" s="10">
        <f t="shared" si="5"/>
        <v>0</v>
      </c>
      <c r="AD9" s="12">
        <f t="shared" si="5"/>
        <v>426009.52380950004</v>
      </c>
      <c r="AE9" s="11" t="e">
        <f t="shared" si="6"/>
        <v>#DIV/0!</v>
      </c>
      <c r="AG9" s="14"/>
      <c r="AH9" s="13" t="s">
        <v>7</v>
      </c>
      <c r="AI9" s="13"/>
      <c r="AJ9" s="45"/>
      <c r="AK9" s="10">
        <f t="shared" si="7"/>
        <v>0</v>
      </c>
      <c r="AL9" s="12">
        <f t="shared" si="7"/>
        <v>-426009.52380950004</v>
      </c>
      <c r="AM9" s="11">
        <f t="shared" si="8"/>
        <v>-1</v>
      </c>
      <c r="AO9" s="14"/>
      <c r="AP9" s="13" t="s">
        <v>7</v>
      </c>
      <c r="AR9" s="12"/>
      <c r="AS9" s="10">
        <f t="shared" si="9"/>
        <v>0</v>
      </c>
      <c r="AT9" s="12">
        <f t="shared" si="9"/>
        <v>0</v>
      </c>
      <c r="AU9" s="11" t="e">
        <f t="shared" si="10"/>
        <v>#DIV/0!</v>
      </c>
      <c r="AW9" s="14"/>
      <c r="AX9" s="13" t="s">
        <v>7</v>
      </c>
      <c r="AZ9" s="12"/>
      <c r="BA9" s="10">
        <f t="shared" si="11"/>
        <v>0</v>
      </c>
      <c r="BB9" s="12">
        <f t="shared" si="12"/>
        <v>0</v>
      </c>
      <c r="BC9" s="11" t="e">
        <f t="shared" si="13"/>
        <v>#DIV/0!</v>
      </c>
      <c r="BE9" s="14"/>
      <c r="BF9" s="13" t="s">
        <v>7</v>
      </c>
      <c r="BH9" s="12"/>
      <c r="BI9" s="10">
        <f t="shared" si="14"/>
        <v>0</v>
      </c>
      <c r="BJ9" s="12">
        <f t="shared" si="15"/>
        <v>0</v>
      </c>
      <c r="BK9" s="11" t="e">
        <f t="shared" si="16"/>
        <v>#DIV/0!</v>
      </c>
      <c r="BM9" s="14"/>
      <c r="BN9" s="13" t="s">
        <v>7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7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7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7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7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6</v>
      </c>
      <c r="C10" s="10">
        <v>48</v>
      </c>
      <c r="D10" s="12">
        <v>644380.95238085999</v>
      </c>
      <c r="F10" s="12"/>
      <c r="G10" s="11"/>
      <c r="I10" s="14"/>
      <c r="J10" s="13" t="s">
        <v>6</v>
      </c>
      <c r="K10" s="10">
        <v>25</v>
      </c>
      <c r="L10" s="12">
        <v>279147.61904757004</v>
      </c>
      <c r="M10" s="10">
        <f t="shared" si="0"/>
        <v>-23</v>
      </c>
      <c r="N10" s="12">
        <f t="shared" si="0"/>
        <v>-365233.33333328995</v>
      </c>
      <c r="O10" s="11">
        <f t="shared" si="1"/>
        <v>-0.5667972214011372</v>
      </c>
      <c r="Q10" s="14"/>
      <c r="R10" s="13" t="s">
        <v>6</v>
      </c>
      <c r="T10" s="12"/>
      <c r="U10" s="10">
        <f t="shared" si="2"/>
        <v>-25</v>
      </c>
      <c r="V10" s="12">
        <f t="shared" si="3"/>
        <v>-279147.61904757004</v>
      </c>
      <c r="W10" s="11">
        <f t="shared" si="4"/>
        <v>-1</v>
      </c>
      <c r="Y10" s="14"/>
      <c r="Z10" s="13"/>
      <c r="AB10" s="12">
        <v>787523.80952371005</v>
      </c>
      <c r="AC10" s="10">
        <f t="shared" si="5"/>
        <v>0</v>
      </c>
      <c r="AD10" s="12">
        <f t="shared" si="5"/>
        <v>787523.80952371005</v>
      </c>
      <c r="AE10" s="11" t="e">
        <f t="shared" si="6"/>
        <v>#DIV/0!</v>
      </c>
      <c r="AG10" s="14"/>
      <c r="AH10" s="13" t="s">
        <v>6</v>
      </c>
      <c r="AI10" s="13"/>
      <c r="AJ10" s="45"/>
      <c r="AK10" s="10">
        <f t="shared" si="7"/>
        <v>0</v>
      </c>
      <c r="AL10" s="12">
        <f t="shared" si="7"/>
        <v>-787523.80952371005</v>
      </c>
      <c r="AM10" s="11">
        <f t="shared" si="8"/>
        <v>-1</v>
      </c>
      <c r="AO10" s="14"/>
      <c r="AP10" s="13" t="s">
        <v>6</v>
      </c>
      <c r="AR10" s="12"/>
      <c r="AS10" s="10">
        <f t="shared" si="9"/>
        <v>0</v>
      </c>
      <c r="AT10" s="12">
        <f t="shared" si="9"/>
        <v>0</v>
      </c>
      <c r="AU10" s="11" t="e">
        <f t="shared" si="10"/>
        <v>#DIV/0!</v>
      </c>
      <c r="AW10" s="14"/>
      <c r="AX10" s="13" t="s">
        <v>6</v>
      </c>
      <c r="AZ10" s="12"/>
      <c r="BA10" s="10">
        <f t="shared" si="11"/>
        <v>0</v>
      </c>
      <c r="BB10" s="12">
        <f t="shared" si="12"/>
        <v>0</v>
      </c>
      <c r="BC10" s="11" t="e">
        <f t="shared" si="13"/>
        <v>#DIV/0!</v>
      </c>
      <c r="BE10" s="14"/>
      <c r="BF10" s="13" t="s">
        <v>6</v>
      </c>
      <c r="BH10" s="12"/>
      <c r="BI10" s="10">
        <f t="shared" si="14"/>
        <v>0</v>
      </c>
      <c r="BJ10" s="12">
        <f t="shared" si="15"/>
        <v>0</v>
      </c>
      <c r="BK10" s="11" t="e">
        <f t="shared" si="16"/>
        <v>#DIV/0!</v>
      </c>
      <c r="BM10" s="14"/>
      <c r="BN10" s="13" t="s">
        <v>6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6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6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6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6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5</v>
      </c>
      <c r="C11" s="10">
        <v>8</v>
      </c>
      <c r="D11" s="12">
        <v>34820</v>
      </c>
      <c r="F11" s="12"/>
      <c r="G11" s="11"/>
      <c r="I11" s="14"/>
      <c r="J11" s="13" t="s">
        <v>5</v>
      </c>
      <c r="K11" s="10">
        <v>8</v>
      </c>
      <c r="L11" s="12">
        <v>35120</v>
      </c>
      <c r="M11" s="10">
        <f t="shared" si="0"/>
        <v>0</v>
      </c>
      <c r="N11" s="12">
        <f t="shared" si="0"/>
        <v>300</v>
      </c>
      <c r="O11" s="11">
        <f t="shared" si="1"/>
        <v>8.6157380815623207E-3</v>
      </c>
      <c r="Q11" s="14"/>
      <c r="R11" s="13" t="s">
        <v>5</v>
      </c>
      <c r="T11" s="12"/>
      <c r="U11" s="10">
        <f t="shared" si="2"/>
        <v>-8</v>
      </c>
      <c r="V11" s="12">
        <f t="shared" si="3"/>
        <v>-35120</v>
      </c>
      <c r="W11" s="11">
        <f t="shared" si="4"/>
        <v>-1</v>
      </c>
      <c r="Y11" s="14"/>
      <c r="Z11" s="13"/>
      <c r="AB11" s="12">
        <v>26860</v>
      </c>
      <c r="AC11" s="10">
        <f t="shared" si="5"/>
        <v>0</v>
      </c>
      <c r="AD11" s="12">
        <f t="shared" si="5"/>
        <v>26860</v>
      </c>
      <c r="AE11" s="11" t="e">
        <f t="shared" si="6"/>
        <v>#DIV/0!</v>
      </c>
      <c r="AG11" s="14"/>
      <c r="AH11" s="13" t="s">
        <v>5</v>
      </c>
      <c r="AI11" s="13"/>
      <c r="AJ11" s="45"/>
      <c r="AK11" s="10">
        <f t="shared" si="7"/>
        <v>0</v>
      </c>
      <c r="AL11" s="12">
        <f t="shared" si="7"/>
        <v>-26860</v>
      </c>
      <c r="AM11" s="11">
        <f t="shared" si="8"/>
        <v>-1</v>
      </c>
      <c r="AO11" s="14"/>
      <c r="AP11" s="13" t="s">
        <v>5</v>
      </c>
      <c r="AR11" s="12"/>
      <c r="AS11" s="10">
        <f t="shared" si="9"/>
        <v>0</v>
      </c>
      <c r="AT11" s="12">
        <f t="shared" si="9"/>
        <v>0</v>
      </c>
      <c r="AU11" s="11" t="e">
        <f t="shared" si="10"/>
        <v>#DIV/0!</v>
      </c>
      <c r="AW11" s="14"/>
      <c r="AX11" s="13" t="s">
        <v>5</v>
      </c>
      <c r="AZ11" s="12"/>
      <c r="BA11" s="10">
        <f t="shared" si="11"/>
        <v>0</v>
      </c>
      <c r="BB11" s="12">
        <f t="shared" si="12"/>
        <v>0</v>
      </c>
      <c r="BC11" s="11" t="e">
        <f t="shared" si="13"/>
        <v>#DIV/0!</v>
      </c>
      <c r="BE11" s="14"/>
      <c r="BF11" s="13" t="s">
        <v>5</v>
      </c>
      <c r="BH11" s="12"/>
      <c r="BI11" s="10">
        <f t="shared" si="14"/>
        <v>0</v>
      </c>
      <c r="BJ11" s="12">
        <f t="shared" si="15"/>
        <v>0</v>
      </c>
      <c r="BK11" s="11" t="e">
        <f t="shared" si="16"/>
        <v>#DIV/0!</v>
      </c>
      <c r="BM11" s="14"/>
      <c r="BN11" s="13" t="s">
        <v>5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5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5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5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5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4</v>
      </c>
      <c r="C12" s="10">
        <v>12</v>
      </c>
      <c r="D12" s="12">
        <v>496161.90476184007</v>
      </c>
      <c r="F12" s="12"/>
      <c r="G12" s="11"/>
      <c r="I12" s="14"/>
      <c r="J12" s="13" t="s">
        <v>4</v>
      </c>
      <c r="K12" s="10">
        <v>28</v>
      </c>
      <c r="L12" s="12">
        <v>1034838.0952380203</v>
      </c>
      <c r="M12" s="10">
        <f t="shared" si="0"/>
        <v>16</v>
      </c>
      <c r="N12" s="12">
        <f t="shared" si="0"/>
        <v>538676.19047618029</v>
      </c>
      <c r="O12" s="11">
        <f t="shared" si="1"/>
        <v>1.0856863159108261</v>
      </c>
      <c r="Q12" s="14"/>
      <c r="R12" s="13" t="s">
        <v>4</v>
      </c>
      <c r="T12" s="12"/>
      <c r="U12" s="10">
        <f t="shared" si="2"/>
        <v>-28</v>
      </c>
      <c r="V12" s="12">
        <f t="shared" si="3"/>
        <v>-1034838.0952380203</v>
      </c>
      <c r="W12" s="11">
        <f t="shared" si="4"/>
        <v>-1</v>
      </c>
      <c r="Y12" s="14"/>
      <c r="Z12" s="13"/>
      <c r="AB12" s="12">
        <v>1773776.1904760499</v>
      </c>
      <c r="AC12" s="10">
        <f t="shared" si="5"/>
        <v>0</v>
      </c>
      <c r="AD12" s="12">
        <f t="shared" si="5"/>
        <v>1773776.1904760499</v>
      </c>
      <c r="AE12" s="11" t="e">
        <f t="shared" si="6"/>
        <v>#DIV/0!</v>
      </c>
      <c r="AG12" s="14"/>
      <c r="AH12" s="13" t="s">
        <v>4</v>
      </c>
      <c r="AI12" s="13"/>
      <c r="AJ12" s="45"/>
      <c r="AK12" s="10">
        <f t="shared" si="7"/>
        <v>0</v>
      </c>
      <c r="AL12" s="12">
        <f t="shared" si="7"/>
        <v>-1773776.1904760499</v>
      </c>
      <c r="AM12" s="11">
        <f t="shared" si="8"/>
        <v>-1</v>
      </c>
      <c r="AO12" s="14"/>
      <c r="AP12" s="13" t="s">
        <v>4</v>
      </c>
      <c r="AR12" s="12"/>
      <c r="AS12" s="10">
        <f t="shared" si="9"/>
        <v>0</v>
      </c>
      <c r="AT12" s="12">
        <f t="shared" si="9"/>
        <v>0</v>
      </c>
      <c r="AU12" s="11" t="e">
        <f t="shared" si="10"/>
        <v>#DIV/0!</v>
      </c>
      <c r="AW12" s="14"/>
      <c r="AX12" s="13" t="s">
        <v>4</v>
      </c>
      <c r="AZ12" s="12"/>
      <c r="BA12" s="10">
        <f t="shared" si="11"/>
        <v>0</v>
      </c>
      <c r="BB12" s="12">
        <f t="shared" si="12"/>
        <v>0</v>
      </c>
      <c r="BC12" s="11" t="e">
        <f t="shared" si="13"/>
        <v>#DIV/0!</v>
      </c>
      <c r="BE12" s="14"/>
      <c r="BF12" s="13" t="s">
        <v>4</v>
      </c>
      <c r="BH12" s="12"/>
      <c r="BI12" s="10">
        <f t="shared" si="14"/>
        <v>0</v>
      </c>
      <c r="BJ12" s="12">
        <f t="shared" si="15"/>
        <v>0</v>
      </c>
      <c r="BK12" s="11" t="e">
        <f t="shared" si="16"/>
        <v>#DIV/0!</v>
      </c>
      <c r="BM12" s="14"/>
      <c r="BN12" s="13" t="s">
        <v>4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4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4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4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4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3</v>
      </c>
      <c r="C13" s="10">
        <v>33</v>
      </c>
      <c r="D13" s="12">
        <v>822857.14285706007</v>
      </c>
      <c r="F13" s="12"/>
      <c r="G13" s="11"/>
      <c r="I13" s="14"/>
      <c r="J13" s="13" t="s">
        <v>3</v>
      </c>
      <c r="K13" s="10">
        <v>60</v>
      </c>
      <c r="L13" s="12">
        <v>1410190.47619037</v>
      </c>
      <c r="M13" s="10">
        <f t="shared" si="0"/>
        <v>27</v>
      </c>
      <c r="N13" s="12">
        <f t="shared" si="0"/>
        <v>587333.33333330997</v>
      </c>
      <c r="O13" s="11">
        <f t="shared" si="1"/>
        <v>0.71377314814819159</v>
      </c>
      <c r="Q13" s="14"/>
      <c r="R13" s="13" t="s">
        <v>3</v>
      </c>
      <c r="T13" s="12"/>
      <c r="U13" s="10">
        <f t="shared" si="2"/>
        <v>-60</v>
      </c>
      <c r="V13" s="12">
        <f t="shared" si="3"/>
        <v>-1410190.47619037</v>
      </c>
      <c r="W13" s="11">
        <f t="shared" si="4"/>
        <v>-1</v>
      </c>
      <c r="Y13" s="14"/>
      <c r="Z13" s="13"/>
      <c r="AB13" s="12">
        <v>1379619.0476189305</v>
      </c>
      <c r="AC13" s="10">
        <f t="shared" si="5"/>
        <v>0</v>
      </c>
      <c r="AD13" s="12">
        <f t="shared" si="5"/>
        <v>1379619.0476189305</v>
      </c>
      <c r="AE13" s="11" t="e">
        <f t="shared" si="6"/>
        <v>#DIV/0!</v>
      </c>
      <c r="AG13" s="14"/>
      <c r="AH13" s="13" t="s">
        <v>3</v>
      </c>
      <c r="AI13" s="13"/>
      <c r="AJ13" s="45"/>
      <c r="AK13" s="10">
        <f t="shared" si="7"/>
        <v>0</v>
      </c>
      <c r="AL13" s="12">
        <f t="shared" si="7"/>
        <v>-1379619.0476189305</v>
      </c>
      <c r="AM13" s="11">
        <f t="shared" si="8"/>
        <v>-1</v>
      </c>
      <c r="AO13" s="14"/>
      <c r="AP13" s="13" t="s">
        <v>3</v>
      </c>
      <c r="AR13" s="12"/>
      <c r="AS13" s="10">
        <f t="shared" si="9"/>
        <v>0</v>
      </c>
      <c r="AT13" s="12">
        <f t="shared" si="9"/>
        <v>0</v>
      </c>
      <c r="AU13" s="11" t="e">
        <f t="shared" si="10"/>
        <v>#DIV/0!</v>
      </c>
      <c r="AW13" s="14"/>
      <c r="AX13" s="13" t="s">
        <v>3</v>
      </c>
      <c r="AZ13" s="12"/>
      <c r="BA13" s="10">
        <f t="shared" si="11"/>
        <v>0</v>
      </c>
      <c r="BB13" s="12">
        <f t="shared" si="12"/>
        <v>0</v>
      </c>
      <c r="BC13" s="11" t="e">
        <f t="shared" si="13"/>
        <v>#DIV/0!</v>
      </c>
      <c r="BE13" s="14"/>
      <c r="BF13" s="13" t="s">
        <v>3</v>
      </c>
      <c r="BH13" s="12"/>
      <c r="BI13" s="10">
        <f t="shared" si="14"/>
        <v>0</v>
      </c>
      <c r="BJ13" s="12">
        <f t="shared" si="15"/>
        <v>0</v>
      </c>
      <c r="BK13" s="11" t="e">
        <f t="shared" si="16"/>
        <v>#DIV/0!</v>
      </c>
      <c r="BM13" s="14"/>
      <c r="BN13" s="13" t="s">
        <v>3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3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3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3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3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2</v>
      </c>
      <c r="C14" s="10">
        <v>59</v>
      </c>
      <c r="D14" s="12">
        <v>2111523.8095237603</v>
      </c>
      <c r="F14" s="12"/>
      <c r="G14" s="11"/>
      <c r="I14" s="14"/>
      <c r="J14" s="13" t="s">
        <v>2</v>
      </c>
      <c r="K14" s="10">
        <v>140</v>
      </c>
      <c r="L14" s="12">
        <v>5139047.6190475598</v>
      </c>
      <c r="M14" s="10">
        <f t="shared" si="0"/>
        <v>81</v>
      </c>
      <c r="N14" s="12">
        <f t="shared" si="0"/>
        <v>3027523.8095237995</v>
      </c>
      <c r="O14" s="11">
        <f t="shared" si="1"/>
        <v>1.433809931893042</v>
      </c>
      <c r="Q14" s="14"/>
      <c r="R14" s="13" t="s">
        <v>2</v>
      </c>
      <c r="T14" s="12"/>
      <c r="U14" s="10">
        <f t="shared" si="2"/>
        <v>-140</v>
      </c>
      <c r="V14" s="12">
        <f t="shared" si="3"/>
        <v>-5139047.6190475598</v>
      </c>
      <c r="W14" s="11">
        <f t="shared" si="4"/>
        <v>-1</v>
      </c>
      <c r="Y14" s="14"/>
      <c r="Z14" s="13"/>
      <c r="AB14" s="12">
        <v>2842761.9047618099</v>
      </c>
      <c r="AC14" s="10">
        <f t="shared" si="5"/>
        <v>0</v>
      </c>
      <c r="AD14" s="12">
        <f t="shared" si="5"/>
        <v>2842761.9047618099</v>
      </c>
      <c r="AE14" s="11" t="e">
        <f t="shared" si="6"/>
        <v>#DIV/0!</v>
      </c>
      <c r="AG14" s="14"/>
      <c r="AH14" s="13" t="s">
        <v>2</v>
      </c>
      <c r="AI14" s="13"/>
      <c r="AJ14" s="45"/>
      <c r="AK14" s="10">
        <f t="shared" si="7"/>
        <v>0</v>
      </c>
      <c r="AL14" s="12">
        <f t="shared" si="7"/>
        <v>-2842761.9047618099</v>
      </c>
      <c r="AM14" s="11">
        <f t="shared" si="8"/>
        <v>-1</v>
      </c>
      <c r="AO14" s="14"/>
      <c r="AP14" s="13" t="s">
        <v>2</v>
      </c>
      <c r="AR14" s="12"/>
      <c r="AS14" s="10">
        <f t="shared" si="9"/>
        <v>0</v>
      </c>
      <c r="AT14" s="12">
        <f t="shared" si="9"/>
        <v>0</v>
      </c>
      <c r="AU14" s="11" t="e">
        <f t="shared" si="10"/>
        <v>#DIV/0!</v>
      </c>
      <c r="AW14" s="14"/>
      <c r="AX14" s="13" t="s">
        <v>2</v>
      </c>
      <c r="AZ14" s="12"/>
      <c r="BA14" s="10">
        <f t="shared" si="11"/>
        <v>0</v>
      </c>
      <c r="BB14" s="12">
        <f t="shared" si="12"/>
        <v>0</v>
      </c>
      <c r="BC14" s="11" t="e">
        <f t="shared" si="13"/>
        <v>#DIV/0!</v>
      </c>
      <c r="BE14" s="14"/>
      <c r="BF14" s="13" t="s">
        <v>2</v>
      </c>
      <c r="BH14" s="12"/>
      <c r="BI14" s="10">
        <f t="shared" si="14"/>
        <v>0</v>
      </c>
      <c r="BJ14" s="12">
        <f t="shared" si="15"/>
        <v>0</v>
      </c>
      <c r="BK14" s="11" t="e">
        <f t="shared" si="16"/>
        <v>#DIV/0!</v>
      </c>
      <c r="BM14" s="14"/>
      <c r="BN14" s="13" t="s">
        <v>2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2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2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2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2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" customFormat="1" ht="20" customHeight="1">
      <c r="A15" s="9" t="s">
        <v>18</v>
      </c>
      <c r="B15" s="9"/>
      <c r="C15" s="8">
        <v>640</v>
      </c>
      <c r="D15" s="7">
        <v>4997474.2857129006</v>
      </c>
      <c r="E15" s="27"/>
      <c r="F15" s="28"/>
      <c r="G15" s="29"/>
      <c r="I15" s="9" t="s">
        <v>18</v>
      </c>
      <c r="J15" s="9"/>
      <c r="K15" s="8">
        <v>671</v>
      </c>
      <c r="L15" s="7">
        <v>8757068.5714274608</v>
      </c>
      <c r="M15" s="27">
        <f t="shared" si="0"/>
        <v>31</v>
      </c>
      <c r="N15" s="28">
        <f t="shared" si="0"/>
        <v>3759594.2857145602</v>
      </c>
      <c r="O15" s="29">
        <f t="shared" si="1"/>
        <v>0.7522988755465394</v>
      </c>
      <c r="Q15" s="9" t="s">
        <v>18</v>
      </c>
      <c r="R15" s="9"/>
      <c r="S15" s="8"/>
      <c r="T15" s="7"/>
      <c r="U15" s="27">
        <f t="shared" si="2"/>
        <v>-671</v>
      </c>
      <c r="V15" s="28">
        <f t="shared" si="3"/>
        <v>-8757068.5714274608</v>
      </c>
      <c r="W15" s="29">
        <f t="shared" si="4"/>
        <v>-1</v>
      </c>
      <c r="Y15" s="9" t="s">
        <v>18</v>
      </c>
      <c r="Z15" s="9"/>
      <c r="AA15" s="8"/>
      <c r="AB15" s="7">
        <v>7913642.8571413998</v>
      </c>
      <c r="AC15" s="27">
        <f t="shared" si="5"/>
        <v>0</v>
      </c>
      <c r="AD15" s="28">
        <f t="shared" si="5"/>
        <v>7913642.8571413998</v>
      </c>
      <c r="AE15" s="29" t="e">
        <f t="shared" si="6"/>
        <v>#DIV/0!</v>
      </c>
      <c r="AG15" s="9" t="s">
        <v>18</v>
      </c>
      <c r="AH15" s="9"/>
      <c r="AI15" s="9"/>
      <c r="AJ15" s="46"/>
      <c r="AK15" s="27">
        <f t="shared" si="7"/>
        <v>0</v>
      </c>
      <c r="AL15" s="28">
        <f t="shared" si="7"/>
        <v>-7913642.8571413998</v>
      </c>
      <c r="AM15" s="29">
        <f t="shared" si="8"/>
        <v>-1</v>
      </c>
      <c r="AO15" s="9" t="s">
        <v>18</v>
      </c>
      <c r="AP15" s="9"/>
      <c r="AQ15" s="8"/>
      <c r="AR15" s="7"/>
      <c r="AS15" s="27">
        <f t="shared" si="9"/>
        <v>0</v>
      </c>
      <c r="AT15" s="28">
        <f t="shared" si="9"/>
        <v>0</v>
      </c>
      <c r="AU15" s="29" t="e">
        <f t="shared" si="10"/>
        <v>#DIV/0!</v>
      </c>
      <c r="AW15" s="9" t="s">
        <v>18</v>
      </c>
      <c r="AX15" s="9"/>
      <c r="AY15" s="8"/>
      <c r="AZ15" s="7"/>
      <c r="BA15" s="27">
        <f t="shared" si="11"/>
        <v>0</v>
      </c>
      <c r="BB15" s="28">
        <f t="shared" si="12"/>
        <v>0</v>
      </c>
      <c r="BC15" s="29" t="e">
        <f t="shared" si="13"/>
        <v>#DIV/0!</v>
      </c>
      <c r="BE15" s="9" t="s">
        <v>18</v>
      </c>
      <c r="BF15" s="9"/>
      <c r="BG15" s="8"/>
      <c r="BH15" s="7"/>
      <c r="BI15" s="27">
        <f t="shared" si="14"/>
        <v>0</v>
      </c>
      <c r="BJ15" s="28">
        <f t="shared" si="15"/>
        <v>0</v>
      </c>
      <c r="BK15" s="29" t="e">
        <f t="shared" si="16"/>
        <v>#DIV/0!</v>
      </c>
      <c r="BM15" s="9" t="s">
        <v>18</v>
      </c>
      <c r="BN15" s="9"/>
      <c r="BO15" s="8"/>
      <c r="BP15" s="7"/>
      <c r="BQ15" s="27">
        <f t="shared" si="17"/>
        <v>0</v>
      </c>
      <c r="BR15" s="28">
        <f t="shared" si="18"/>
        <v>0</v>
      </c>
      <c r="BS15" s="29" t="e">
        <f t="shared" si="19"/>
        <v>#DIV/0!</v>
      </c>
      <c r="BU15" s="9" t="s">
        <v>18</v>
      </c>
      <c r="BV15" s="9"/>
      <c r="BW15" s="8"/>
      <c r="BX15" s="7"/>
      <c r="BY15" s="27">
        <f t="shared" si="20"/>
        <v>0</v>
      </c>
      <c r="BZ15" s="28">
        <f t="shared" si="21"/>
        <v>0</v>
      </c>
      <c r="CA15" s="29" t="e">
        <f t="shared" si="22"/>
        <v>#DIV/0!</v>
      </c>
      <c r="CC15" s="9" t="s">
        <v>18</v>
      </c>
      <c r="CD15" s="9"/>
      <c r="CE15" s="8"/>
      <c r="CF15" s="7"/>
      <c r="CG15" s="27">
        <f t="shared" si="23"/>
        <v>0</v>
      </c>
      <c r="CH15" s="28">
        <f t="shared" si="24"/>
        <v>0</v>
      </c>
      <c r="CI15" s="29" t="e">
        <f t="shared" si="25"/>
        <v>#DIV/0!</v>
      </c>
      <c r="CK15" s="9" t="s">
        <v>18</v>
      </c>
      <c r="CL15" s="9"/>
      <c r="CM15" s="8"/>
      <c r="CN15" s="7"/>
      <c r="CO15" s="27">
        <f t="shared" si="26"/>
        <v>0</v>
      </c>
      <c r="CP15" s="28">
        <f t="shared" si="27"/>
        <v>0</v>
      </c>
      <c r="CQ15" s="29" t="e">
        <f t="shared" si="28"/>
        <v>#DIV/0!</v>
      </c>
      <c r="CS15" s="9" t="s">
        <v>18</v>
      </c>
      <c r="CT15" s="9"/>
      <c r="CU15" s="8"/>
      <c r="CV15" s="7"/>
      <c r="CW15" s="27">
        <f t="shared" si="29"/>
        <v>0</v>
      </c>
      <c r="CX15" s="28">
        <f t="shared" si="30"/>
        <v>0</v>
      </c>
      <c r="CY15" s="29" t="e">
        <f t="shared" si="31"/>
        <v>#DIV/0!</v>
      </c>
    </row>
    <row r="16" spans="1:103" s="1" customFormat="1" ht="20" customHeight="1">
      <c r="A16" s="14">
        <v>76</v>
      </c>
      <c r="B16" s="32" t="s">
        <v>19</v>
      </c>
      <c r="C16" s="1">
        <v>4406</v>
      </c>
      <c r="D16" s="35"/>
      <c r="E16" s="10"/>
      <c r="F16" s="12"/>
      <c r="G16" s="36"/>
      <c r="I16" s="14">
        <v>76</v>
      </c>
      <c r="J16" s="32" t="s">
        <v>19</v>
      </c>
      <c r="K16" s="1">
        <v>2903</v>
      </c>
      <c r="L16" s="35"/>
      <c r="M16" s="10">
        <f t="shared" si="0"/>
        <v>-1503</v>
      </c>
      <c r="N16" s="12">
        <f t="shared" si="0"/>
        <v>0</v>
      </c>
      <c r="O16" s="11" t="e">
        <f t="shared" si="1"/>
        <v>#DIV/0!</v>
      </c>
      <c r="Q16" s="14">
        <v>76</v>
      </c>
      <c r="R16" s="32" t="s">
        <v>19</v>
      </c>
      <c r="T16" s="35"/>
      <c r="U16" s="10">
        <f t="shared" si="2"/>
        <v>-2903</v>
      </c>
      <c r="V16" s="12">
        <f t="shared" si="3"/>
        <v>0</v>
      </c>
      <c r="W16" s="11" t="e">
        <f t="shared" si="4"/>
        <v>#DIV/0!</v>
      </c>
      <c r="Y16" s="14">
        <v>76</v>
      </c>
      <c r="Z16" s="32"/>
      <c r="AB16" s="35"/>
      <c r="AC16" s="10">
        <f t="shared" si="5"/>
        <v>0</v>
      </c>
      <c r="AD16" s="12">
        <f t="shared" si="5"/>
        <v>0</v>
      </c>
      <c r="AE16" s="11" t="e">
        <f t="shared" si="6"/>
        <v>#DIV/0!</v>
      </c>
      <c r="AG16" s="14">
        <v>76</v>
      </c>
      <c r="AH16" s="32" t="s">
        <v>19</v>
      </c>
      <c r="AI16" s="32"/>
      <c r="AJ16" s="47"/>
      <c r="AK16" s="10">
        <f t="shared" si="7"/>
        <v>0</v>
      </c>
      <c r="AL16" s="12">
        <f t="shared" si="7"/>
        <v>0</v>
      </c>
      <c r="AM16" s="11" t="e">
        <f t="shared" si="8"/>
        <v>#DIV/0!</v>
      </c>
      <c r="AO16" s="14">
        <v>76</v>
      </c>
      <c r="AP16" s="32" t="s">
        <v>19</v>
      </c>
      <c r="AR16" s="35"/>
      <c r="AS16" s="10">
        <f t="shared" si="9"/>
        <v>0</v>
      </c>
      <c r="AT16" s="12">
        <f t="shared" si="9"/>
        <v>0</v>
      </c>
      <c r="AU16" s="11" t="e">
        <f t="shared" si="10"/>
        <v>#DIV/0!</v>
      </c>
      <c r="AW16" s="14">
        <v>76</v>
      </c>
      <c r="AX16" s="32" t="s">
        <v>19</v>
      </c>
      <c r="AZ16" s="35"/>
      <c r="BA16" s="10">
        <f t="shared" si="11"/>
        <v>0</v>
      </c>
      <c r="BB16" s="12">
        <f t="shared" si="12"/>
        <v>0</v>
      </c>
      <c r="BC16" s="11" t="e">
        <f t="shared" si="13"/>
        <v>#DIV/0!</v>
      </c>
      <c r="BE16" s="14">
        <v>76</v>
      </c>
      <c r="BF16" s="32" t="s">
        <v>19</v>
      </c>
      <c r="BH16" s="35"/>
      <c r="BI16" s="10">
        <f t="shared" si="14"/>
        <v>0</v>
      </c>
      <c r="BJ16" s="12">
        <f t="shared" si="15"/>
        <v>0</v>
      </c>
      <c r="BK16" s="11" t="e">
        <f t="shared" si="16"/>
        <v>#DIV/0!</v>
      </c>
      <c r="BM16" s="14">
        <v>76</v>
      </c>
      <c r="BN16" s="32" t="s">
        <v>19</v>
      </c>
      <c r="BP16" s="35"/>
      <c r="BQ16" s="10">
        <f t="shared" si="17"/>
        <v>0</v>
      </c>
      <c r="BR16" s="12">
        <f t="shared" si="18"/>
        <v>0</v>
      </c>
      <c r="BS16" s="11" t="e">
        <f t="shared" si="19"/>
        <v>#DIV/0!</v>
      </c>
      <c r="BU16" s="14">
        <v>76</v>
      </c>
      <c r="BV16" s="32" t="s">
        <v>19</v>
      </c>
      <c r="BW16" s="15"/>
      <c r="BX16" s="33"/>
      <c r="BY16" s="10">
        <f t="shared" si="20"/>
        <v>0</v>
      </c>
      <c r="BZ16" s="12">
        <f t="shared" si="21"/>
        <v>0</v>
      </c>
      <c r="CA16" s="11" t="e">
        <f t="shared" si="22"/>
        <v>#DIV/0!</v>
      </c>
      <c r="CC16" s="14">
        <v>76</v>
      </c>
      <c r="CD16" s="32" t="s">
        <v>19</v>
      </c>
      <c r="CE16" s="15"/>
      <c r="CF16" s="33"/>
      <c r="CG16" s="10">
        <f t="shared" si="23"/>
        <v>0</v>
      </c>
      <c r="CH16" s="12">
        <f t="shared" si="24"/>
        <v>0</v>
      </c>
      <c r="CI16" s="11" t="e">
        <f t="shared" si="25"/>
        <v>#DIV/0!</v>
      </c>
      <c r="CK16" s="14">
        <v>76</v>
      </c>
      <c r="CL16" s="32" t="s">
        <v>19</v>
      </c>
      <c r="CM16" s="15"/>
      <c r="CN16" s="33"/>
      <c r="CO16" s="10">
        <f t="shared" si="26"/>
        <v>0</v>
      </c>
      <c r="CP16" s="12">
        <f t="shared" si="27"/>
        <v>0</v>
      </c>
      <c r="CQ16" s="11" t="e">
        <f t="shared" si="28"/>
        <v>#DIV/0!</v>
      </c>
      <c r="CS16" s="14">
        <v>76</v>
      </c>
      <c r="CT16" s="32" t="s">
        <v>19</v>
      </c>
      <c r="CU16" s="15"/>
      <c r="CV16" s="33"/>
      <c r="CW16" s="10">
        <f t="shared" si="29"/>
        <v>0</v>
      </c>
      <c r="CX16" s="12">
        <f t="shared" si="30"/>
        <v>0</v>
      </c>
      <c r="CY16" s="11" t="e">
        <f t="shared" si="31"/>
        <v>#DIV/0!</v>
      </c>
    </row>
    <row r="17" spans="1:103" s="1" customFormat="1" ht="20" customHeight="1">
      <c r="A17" s="14"/>
      <c r="B17" s="32" t="s">
        <v>20</v>
      </c>
      <c r="C17" s="1">
        <v>10</v>
      </c>
      <c r="D17" s="35"/>
      <c r="E17" s="10"/>
      <c r="F17" s="12"/>
      <c r="G17" s="36"/>
      <c r="I17" s="14"/>
      <c r="J17" s="32" t="s">
        <v>20</v>
      </c>
      <c r="L17" s="35"/>
      <c r="M17" s="10">
        <f t="shared" si="0"/>
        <v>-10</v>
      </c>
      <c r="N17" s="12">
        <f t="shared" si="0"/>
        <v>0</v>
      </c>
      <c r="O17" s="11" t="e">
        <f t="shared" si="1"/>
        <v>#DIV/0!</v>
      </c>
      <c r="Q17" s="14"/>
      <c r="R17" s="32" t="s">
        <v>20</v>
      </c>
      <c r="T17" s="35"/>
      <c r="U17" s="10">
        <f t="shared" si="2"/>
        <v>0</v>
      </c>
      <c r="V17" s="12">
        <f t="shared" si="3"/>
        <v>0</v>
      </c>
      <c r="W17" s="11" t="e">
        <f t="shared" si="4"/>
        <v>#DIV/0!</v>
      </c>
      <c r="Y17" s="14"/>
      <c r="Z17" s="32"/>
      <c r="AB17" s="35"/>
      <c r="AC17" s="10">
        <f t="shared" si="5"/>
        <v>0</v>
      </c>
      <c r="AD17" s="12">
        <f t="shared" si="5"/>
        <v>0</v>
      </c>
      <c r="AE17" s="11" t="e">
        <f t="shared" si="6"/>
        <v>#DIV/0!</v>
      </c>
      <c r="AG17" s="14"/>
      <c r="AH17" s="32" t="s">
        <v>20</v>
      </c>
      <c r="AI17" s="32"/>
      <c r="AJ17" s="47"/>
      <c r="AK17" s="10">
        <f t="shared" si="7"/>
        <v>0</v>
      </c>
      <c r="AL17" s="12">
        <f t="shared" si="7"/>
        <v>0</v>
      </c>
      <c r="AM17" s="11" t="e">
        <f t="shared" si="8"/>
        <v>#DIV/0!</v>
      </c>
      <c r="AO17" s="14"/>
      <c r="AP17" s="32" t="s">
        <v>20</v>
      </c>
      <c r="AR17" s="35"/>
      <c r="AS17" s="10">
        <f t="shared" si="9"/>
        <v>0</v>
      </c>
      <c r="AT17" s="12">
        <f t="shared" si="9"/>
        <v>0</v>
      </c>
      <c r="AU17" s="11" t="e">
        <f t="shared" si="10"/>
        <v>#DIV/0!</v>
      </c>
      <c r="AW17" s="14"/>
      <c r="AX17" s="32" t="s">
        <v>20</v>
      </c>
      <c r="AZ17" s="35"/>
      <c r="BA17" s="10">
        <f t="shared" si="11"/>
        <v>0</v>
      </c>
      <c r="BB17" s="12">
        <f t="shared" si="12"/>
        <v>0</v>
      </c>
      <c r="BC17" s="11" t="e">
        <f t="shared" si="13"/>
        <v>#DIV/0!</v>
      </c>
      <c r="BE17" s="14"/>
      <c r="BF17" s="32" t="s">
        <v>20</v>
      </c>
      <c r="BH17" s="35"/>
      <c r="BI17" s="10">
        <f t="shared" si="14"/>
        <v>0</v>
      </c>
      <c r="BJ17" s="12">
        <f t="shared" si="15"/>
        <v>0</v>
      </c>
      <c r="BK17" s="11" t="e">
        <f t="shared" si="16"/>
        <v>#DIV/0!</v>
      </c>
      <c r="BM17" s="14"/>
      <c r="BN17" s="32" t="s">
        <v>20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/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/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/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/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0" customFormat="1" ht="20" customHeight="1">
      <c r="A18" s="14"/>
      <c r="B18" s="13" t="s">
        <v>9</v>
      </c>
      <c r="C18" s="10">
        <v>142</v>
      </c>
      <c r="D18" s="12">
        <v>144453.33333267999</v>
      </c>
      <c r="F18" s="12"/>
      <c r="G18" s="11"/>
      <c r="I18" s="14"/>
      <c r="J18" s="13" t="s">
        <v>9</v>
      </c>
      <c r="K18" s="10">
        <v>99</v>
      </c>
      <c r="L18" s="12">
        <v>104603.80952343997</v>
      </c>
      <c r="M18" s="10">
        <f t="shared" si="0"/>
        <v>-43</v>
      </c>
      <c r="N18" s="12">
        <f t="shared" si="0"/>
        <v>-39849.523809240025</v>
      </c>
      <c r="O18" s="11">
        <f t="shared" si="1"/>
        <v>-0.27586434241337637</v>
      </c>
      <c r="Q18" s="14"/>
      <c r="R18" s="13" t="s">
        <v>9</v>
      </c>
      <c r="T18" s="12"/>
      <c r="U18" s="10">
        <f t="shared" si="2"/>
        <v>-99</v>
      </c>
      <c r="V18" s="12">
        <f t="shared" si="3"/>
        <v>-104603.80952343997</v>
      </c>
      <c r="W18" s="11">
        <f t="shared" si="4"/>
        <v>-1</v>
      </c>
      <c r="Y18" s="14"/>
      <c r="Z18" s="13"/>
      <c r="AB18" s="12">
        <v>152445.71428508</v>
      </c>
      <c r="AC18" s="10">
        <f t="shared" si="5"/>
        <v>0</v>
      </c>
      <c r="AD18" s="12">
        <f t="shared" si="5"/>
        <v>152445.71428508</v>
      </c>
      <c r="AE18" s="11" t="e">
        <f t="shared" si="6"/>
        <v>#DIV/0!</v>
      </c>
      <c r="AG18" s="14"/>
      <c r="AH18" s="13" t="s">
        <v>9</v>
      </c>
      <c r="AI18" s="13"/>
      <c r="AJ18" s="45"/>
      <c r="AK18" s="10">
        <f t="shared" si="7"/>
        <v>0</v>
      </c>
      <c r="AL18" s="12">
        <f t="shared" si="7"/>
        <v>-152445.71428508</v>
      </c>
      <c r="AM18" s="11">
        <f t="shared" si="8"/>
        <v>-1</v>
      </c>
      <c r="AO18" s="14"/>
      <c r="AP18" s="13" t="s">
        <v>9</v>
      </c>
      <c r="AR18" s="12"/>
      <c r="AS18" s="10">
        <f t="shared" si="9"/>
        <v>0</v>
      </c>
      <c r="AT18" s="12">
        <f t="shared" si="9"/>
        <v>0</v>
      </c>
      <c r="AU18" s="11" t="e">
        <f t="shared" si="10"/>
        <v>#DIV/0!</v>
      </c>
      <c r="AW18" s="14"/>
      <c r="AX18" s="13" t="s">
        <v>9</v>
      </c>
      <c r="AZ18" s="12"/>
      <c r="BA18" s="10">
        <f t="shared" si="11"/>
        <v>0</v>
      </c>
      <c r="BB18" s="12">
        <f t="shared" si="12"/>
        <v>0</v>
      </c>
      <c r="BC18" s="11" t="e">
        <f t="shared" si="13"/>
        <v>#DIV/0!</v>
      </c>
      <c r="BE18" s="14"/>
      <c r="BF18" s="13" t="s">
        <v>9</v>
      </c>
      <c r="BH18" s="12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13" t="s">
        <v>9</v>
      </c>
      <c r="BP18" s="12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13" t="s">
        <v>9</v>
      </c>
      <c r="BX18" s="12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13" t="s">
        <v>9</v>
      </c>
      <c r="CF18" s="12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13" t="s">
        <v>9</v>
      </c>
      <c r="CN18" s="12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13" t="s">
        <v>9</v>
      </c>
      <c r="CV18" s="12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8</v>
      </c>
      <c r="C19" s="10">
        <v>185</v>
      </c>
      <c r="D19" s="12">
        <v>198114.28571418001</v>
      </c>
      <c r="F19" s="12"/>
      <c r="G19" s="11"/>
      <c r="I19" s="14"/>
      <c r="J19" s="13" t="s">
        <v>8</v>
      </c>
      <c r="K19" s="10">
        <v>133</v>
      </c>
      <c r="L19" s="12">
        <v>152373.33333323002</v>
      </c>
      <c r="M19" s="10">
        <f t="shared" si="0"/>
        <v>-52</v>
      </c>
      <c r="N19" s="12">
        <f t="shared" si="0"/>
        <v>-45740.952380949981</v>
      </c>
      <c r="O19" s="11">
        <f t="shared" si="1"/>
        <v>-0.23088164599568842</v>
      </c>
      <c r="Q19" s="14"/>
      <c r="R19" s="13" t="s">
        <v>8</v>
      </c>
      <c r="T19" s="12"/>
      <c r="U19" s="10">
        <f t="shared" si="2"/>
        <v>-133</v>
      </c>
      <c r="V19" s="12">
        <f t="shared" si="3"/>
        <v>-152373.33333323002</v>
      </c>
      <c r="W19" s="11">
        <f t="shared" si="4"/>
        <v>-1</v>
      </c>
      <c r="Y19" s="14"/>
      <c r="Z19" s="13"/>
      <c r="AB19" s="12">
        <v>205209.52380940001</v>
      </c>
      <c r="AC19" s="10">
        <f t="shared" si="5"/>
        <v>0</v>
      </c>
      <c r="AD19" s="12">
        <f t="shared" si="5"/>
        <v>205209.52380940001</v>
      </c>
      <c r="AE19" s="11" t="e">
        <f t="shared" si="6"/>
        <v>#DIV/0!</v>
      </c>
      <c r="AG19" s="14"/>
      <c r="AH19" s="13" t="s">
        <v>8</v>
      </c>
      <c r="AI19" s="13"/>
      <c r="AJ19" s="45"/>
      <c r="AK19" s="10">
        <f t="shared" si="7"/>
        <v>0</v>
      </c>
      <c r="AL19" s="12">
        <f t="shared" si="7"/>
        <v>-205209.52380940001</v>
      </c>
      <c r="AM19" s="11">
        <f t="shared" si="8"/>
        <v>-1</v>
      </c>
      <c r="AO19" s="14"/>
      <c r="AP19" s="13" t="s">
        <v>8</v>
      </c>
      <c r="AR19" s="12"/>
      <c r="AS19" s="10">
        <f t="shared" si="9"/>
        <v>0</v>
      </c>
      <c r="AT19" s="12">
        <f t="shared" si="9"/>
        <v>0</v>
      </c>
      <c r="AU19" s="11" t="e">
        <f t="shared" si="10"/>
        <v>#DIV/0!</v>
      </c>
      <c r="AW19" s="14"/>
      <c r="AX19" s="13" t="s">
        <v>8</v>
      </c>
      <c r="AZ19" s="12"/>
      <c r="BA19" s="10">
        <f t="shared" si="11"/>
        <v>0</v>
      </c>
      <c r="BB19" s="12">
        <f t="shared" si="12"/>
        <v>0</v>
      </c>
      <c r="BC19" s="11" t="e">
        <f t="shared" si="13"/>
        <v>#DIV/0!</v>
      </c>
      <c r="BE19" s="14"/>
      <c r="BF19" s="13" t="s">
        <v>8</v>
      </c>
      <c r="BH19" s="12"/>
      <c r="BI19" s="10">
        <f t="shared" si="14"/>
        <v>0</v>
      </c>
      <c r="BJ19" s="12">
        <f t="shared" si="15"/>
        <v>0</v>
      </c>
      <c r="BK19" s="11" t="e">
        <f t="shared" si="16"/>
        <v>#DIV/0!</v>
      </c>
      <c r="BM19" s="14"/>
      <c r="BN19" s="13" t="s">
        <v>8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8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8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8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8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7</v>
      </c>
      <c r="C20" s="10">
        <v>37</v>
      </c>
      <c r="D20" s="12">
        <v>225361.90476189001</v>
      </c>
      <c r="F20" s="12"/>
      <c r="G20" s="11"/>
      <c r="I20" s="14"/>
      <c r="J20" s="13" t="s">
        <v>7</v>
      </c>
      <c r="K20" s="10">
        <v>33</v>
      </c>
      <c r="L20" s="12">
        <v>241114.28571425998</v>
      </c>
      <c r="M20" s="10">
        <f t="shared" si="0"/>
        <v>-4</v>
      </c>
      <c r="N20" s="12">
        <f t="shared" si="0"/>
        <v>15752.380952369975</v>
      </c>
      <c r="O20" s="11">
        <f t="shared" si="1"/>
        <v>6.9898153234964108E-2</v>
      </c>
      <c r="Q20" s="14"/>
      <c r="R20" s="13" t="s">
        <v>7</v>
      </c>
      <c r="T20" s="12"/>
      <c r="U20" s="10">
        <f t="shared" si="2"/>
        <v>-33</v>
      </c>
      <c r="V20" s="12">
        <f t="shared" si="3"/>
        <v>-241114.28571425998</v>
      </c>
      <c r="W20" s="11">
        <f t="shared" si="4"/>
        <v>-1</v>
      </c>
      <c r="Y20" s="14"/>
      <c r="Z20" s="13"/>
      <c r="AB20" s="12">
        <v>269276.19047617004</v>
      </c>
      <c r="AC20" s="10">
        <f t="shared" si="5"/>
        <v>0</v>
      </c>
      <c r="AD20" s="12">
        <f t="shared" si="5"/>
        <v>269276.19047617004</v>
      </c>
      <c r="AE20" s="11" t="e">
        <f t="shared" si="6"/>
        <v>#DIV/0!</v>
      </c>
      <c r="AG20" s="14"/>
      <c r="AH20" s="13" t="s">
        <v>7</v>
      </c>
      <c r="AI20" s="13"/>
      <c r="AJ20" s="45"/>
      <c r="AK20" s="10">
        <f t="shared" si="7"/>
        <v>0</v>
      </c>
      <c r="AL20" s="12">
        <f t="shared" si="7"/>
        <v>-269276.19047617004</v>
      </c>
      <c r="AM20" s="11">
        <f t="shared" si="8"/>
        <v>-1</v>
      </c>
      <c r="AO20" s="14"/>
      <c r="AP20" s="13" t="s">
        <v>7</v>
      </c>
      <c r="AR20" s="12"/>
      <c r="AS20" s="10">
        <f t="shared" si="9"/>
        <v>0</v>
      </c>
      <c r="AT20" s="12">
        <f t="shared" si="9"/>
        <v>0</v>
      </c>
      <c r="AU20" s="11" t="e">
        <f t="shared" si="10"/>
        <v>#DIV/0!</v>
      </c>
      <c r="AW20" s="14"/>
      <c r="AX20" s="13" t="s">
        <v>7</v>
      </c>
      <c r="AZ20" s="12"/>
      <c r="BA20" s="10">
        <f t="shared" si="11"/>
        <v>0</v>
      </c>
      <c r="BB20" s="12">
        <f t="shared" si="12"/>
        <v>0</v>
      </c>
      <c r="BC20" s="11" t="e">
        <f t="shared" si="13"/>
        <v>#DIV/0!</v>
      </c>
      <c r="BE20" s="14"/>
      <c r="BF20" s="13" t="s">
        <v>7</v>
      </c>
      <c r="BH20" s="12"/>
      <c r="BI20" s="10">
        <f t="shared" si="14"/>
        <v>0</v>
      </c>
      <c r="BJ20" s="12">
        <f t="shared" si="15"/>
        <v>0</v>
      </c>
      <c r="BK20" s="11" t="e">
        <f t="shared" si="16"/>
        <v>#DIV/0!</v>
      </c>
      <c r="BM20" s="14"/>
      <c r="BN20" s="13" t="s">
        <v>7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7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7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7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7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6</v>
      </c>
      <c r="C21" s="10">
        <v>22</v>
      </c>
      <c r="D21" s="12">
        <v>241714.28571422998</v>
      </c>
      <c r="F21" s="12"/>
      <c r="G21" s="11"/>
      <c r="I21" s="14"/>
      <c r="J21" s="13" t="s">
        <v>6</v>
      </c>
      <c r="K21" s="10">
        <v>21</v>
      </c>
      <c r="L21" s="12">
        <v>262190.47619041003</v>
      </c>
      <c r="M21" s="10">
        <f t="shared" si="0"/>
        <v>-1</v>
      </c>
      <c r="N21" s="12">
        <f t="shared" si="0"/>
        <v>20476.190476180054</v>
      </c>
      <c r="O21" s="11">
        <f t="shared" si="1"/>
        <v>8.4712371946390919E-2</v>
      </c>
      <c r="Q21" s="14"/>
      <c r="R21" s="13" t="s">
        <v>6</v>
      </c>
      <c r="T21" s="12"/>
      <c r="U21" s="10">
        <f t="shared" si="2"/>
        <v>-21</v>
      </c>
      <c r="V21" s="12">
        <f t="shared" si="3"/>
        <v>-262190.47619041003</v>
      </c>
      <c r="W21" s="11">
        <f t="shared" si="4"/>
        <v>-1</v>
      </c>
      <c r="Y21" s="14"/>
      <c r="Z21" s="13"/>
      <c r="AB21" s="12">
        <v>479142.85714278999</v>
      </c>
      <c r="AC21" s="10">
        <f t="shared" si="5"/>
        <v>0</v>
      </c>
      <c r="AD21" s="12">
        <f t="shared" si="5"/>
        <v>479142.85714278999</v>
      </c>
      <c r="AE21" s="11" t="e">
        <f t="shared" si="6"/>
        <v>#DIV/0!</v>
      </c>
      <c r="AG21" s="14"/>
      <c r="AH21" s="13" t="s">
        <v>6</v>
      </c>
      <c r="AI21" s="13"/>
      <c r="AJ21" s="45"/>
      <c r="AK21" s="10">
        <f t="shared" si="7"/>
        <v>0</v>
      </c>
      <c r="AL21" s="12">
        <f t="shared" si="7"/>
        <v>-479142.85714278999</v>
      </c>
      <c r="AM21" s="11">
        <f t="shared" si="8"/>
        <v>-1</v>
      </c>
      <c r="AO21" s="14"/>
      <c r="AP21" s="13" t="s">
        <v>6</v>
      </c>
      <c r="AR21" s="12"/>
      <c r="AS21" s="10">
        <f t="shared" si="9"/>
        <v>0</v>
      </c>
      <c r="AT21" s="12">
        <f t="shared" si="9"/>
        <v>0</v>
      </c>
      <c r="AU21" s="11" t="e">
        <f t="shared" si="10"/>
        <v>#DIV/0!</v>
      </c>
      <c r="AW21" s="14"/>
      <c r="AX21" s="13" t="s">
        <v>6</v>
      </c>
      <c r="AZ21" s="12"/>
      <c r="BA21" s="10">
        <f t="shared" si="11"/>
        <v>0</v>
      </c>
      <c r="BB21" s="12">
        <f t="shared" si="12"/>
        <v>0</v>
      </c>
      <c r="BC21" s="11" t="e">
        <f t="shared" si="13"/>
        <v>#DIV/0!</v>
      </c>
      <c r="BE21" s="14"/>
      <c r="BF21" s="13" t="s">
        <v>6</v>
      </c>
      <c r="BH21" s="12"/>
      <c r="BI21" s="10">
        <f t="shared" si="14"/>
        <v>0</v>
      </c>
      <c r="BJ21" s="12">
        <f t="shared" si="15"/>
        <v>0</v>
      </c>
      <c r="BK21" s="11" t="e">
        <f t="shared" si="16"/>
        <v>#DIV/0!</v>
      </c>
      <c r="BM21" s="14"/>
      <c r="BN21" s="13" t="s">
        <v>6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6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6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6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6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5</v>
      </c>
      <c r="C22" s="10">
        <v>13</v>
      </c>
      <c r="D22" s="12">
        <v>48020</v>
      </c>
      <c r="F22" s="12"/>
      <c r="G22" s="11"/>
      <c r="I22" s="14"/>
      <c r="J22" s="13" t="s">
        <v>5</v>
      </c>
      <c r="K22" s="10">
        <v>16</v>
      </c>
      <c r="L22" s="12">
        <v>43520</v>
      </c>
      <c r="M22" s="10">
        <f t="shared" si="0"/>
        <v>3</v>
      </c>
      <c r="N22" s="12">
        <f t="shared" si="0"/>
        <v>-4500</v>
      </c>
      <c r="O22" s="11">
        <f t="shared" si="1"/>
        <v>-9.3710953769262806E-2</v>
      </c>
      <c r="Q22" s="14"/>
      <c r="R22" s="13" t="s">
        <v>5</v>
      </c>
      <c r="T22" s="12"/>
      <c r="U22" s="10">
        <f t="shared" si="2"/>
        <v>-16</v>
      </c>
      <c r="V22" s="12">
        <f t="shared" si="3"/>
        <v>-43520</v>
      </c>
      <c r="W22" s="11">
        <f t="shared" si="4"/>
        <v>-1</v>
      </c>
      <c r="Y22" s="14"/>
      <c r="Z22" s="13"/>
      <c r="AB22" s="12">
        <v>59080</v>
      </c>
      <c r="AC22" s="10">
        <f t="shared" si="5"/>
        <v>0</v>
      </c>
      <c r="AD22" s="12">
        <f t="shared" si="5"/>
        <v>59080</v>
      </c>
      <c r="AE22" s="11" t="e">
        <f t="shared" si="6"/>
        <v>#DIV/0!</v>
      </c>
      <c r="AG22" s="14"/>
      <c r="AH22" s="13" t="s">
        <v>5</v>
      </c>
      <c r="AI22" s="13"/>
      <c r="AJ22" s="45"/>
      <c r="AK22" s="10">
        <f t="shared" si="7"/>
        <v>0</v>
      </c>
      <c r="AL22" s="12">
        <f t="shared" si="7"/>
        <v>-59080</v>
      </c>
      <c r="AM22" s="11">
        <f t="shared" si="8"/>
        <v>-1</v>
      </c>
      <c r="AO22" s="14"/>
      <c r="AP22" s="13" t="s">
        <v>5</v>
      </c>
      <c r="AR22" s="12"/>
      <c r="AS22" s="10">
        <f t="shared" si="9"/>
        <v>0</v>
      </c>
      <c r="AT22" s="12">
        <f t="shared" si="9"/>
        <v>0</v>
      </c>
      <c r="AU22" s="11" t="e">
        <f t="shared" si="10"/>
        <v>#DIV/0!</v>
      </c>
      <c r="AW22" s="14"/>
      <c r="AX22" s="13" t="s">
        <v>5</v>
      </c>
      <c r="AZ22" s="12"/>
      <c r="BA22" s="10">
        <f t="shared" si="11"/>
        <v>0</v>
      </c>
      <c r="BB22" s="12">
        <f t="shared" si="12"/>
        <v>0</v>
      </c>
      <c r="BC22" s="11" t="e">
        <f t="shared" si="13"/>
        <v>#DIV/0!</v>
      </c>
      <c r="BE22" s="14"/>
      <c r="BF22" s="13" t="s">
        <v>5</v>
      </c>
      <c r="BH22" s="12"/>
      <c r="BI22" s="10">
        <f t="shared" si="14"/>
        <v>0</v>
      </c>
      <c r="BJ22" s="12">
        <f t="shared" si="15"/>
        <v>0</v>
      </c>
      <c r="BK22" s="11" t="e">
        <f t="shared" si="16"/>
        <v>#DIV/0!</v>
      </c>
      <c r="BM22" s="14"/>
      <c r="BN22" s="13" t="s">
        <v>5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5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5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5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5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4</v>
      </c>
      <c r="C23" s="10">
        <v>6</v>
      </c>
      <c r="D23" s="12">
        <v>197980.95238092</v>
      </c>
      <c r="F23" s="12"/>
      <c r="G23" s="11"/>
      <c r="I23" s="14"/>
      <c r="J23" s="13" t="s">
        <v>4</v>
      </c>
      <c r="K23" s="10">
        <v>13</v>
      </c>
      <c r="L23" s="12">
        <v>544261.90476184001</v>
      </c>
      <c r="M23" s="10">
        <f t="shared" si="0"/>
        <v>7</v>
      </c>
      <c r="N23" s="12">
        <f t="shared" si="0"/>
        <v>346280.95238092</v>
      </c>
      <c r="O23" s="11">
        <f t="shared" si="1"/>
        <v>1.74906195882252</v>
      </c>
      <c r="Q23" s="14"/>
      <c r="R23" s="13" t="s">
        <v>4</v>
      </c>
      <c r="T23" s="12"/>
      <c r="U23" s="10">
        <f t="shared" si="2"/>
        <v>-13</v>
      </c>
      <c r="V23" s="12">
        <f t="shared" si="3"/>
        <v>-544261.90476184001</v>
      </c>
      <c r="W23" s="11">
        <f t="shared" si="4"/>
        <v>-1</v>
      </c>
      <c r="Y23" s="14"/>
      <c r="Z23" s="13"/>
      <c r="AB23" s="12">
        <v>974552.38095230004</v>
      </c>
      <c r="AC23" s="10">
        <f t="shared" si="5"/>
        <v>0</v>
      </c>
      <c r="AD23" s="12">
        <f t="shared" si="5"/>
        <v>974552.38095230004</v>
      </c>
      <c r="AE23" s="11" t="e">
        <f t="shared" si="6"/>
        <v>#DIV/0!</v>
      </c>
      <c r="AG23" s="14"/>
      <c r="AH23" s="13" t="s">
        <v>4</v>
      </c>
      <c r="AI23" s="13"/>
      <c r="AJ23" s="45"/>
      <c r="AK23" s="10">
        <f t="shared" si="7"/>
        <v>0</v>
      </c>
      <c r="AL23" s="12">
        <f t="shared" si="7"/>
        <v>-974552.38095230004</v>
      </c>
      <c r="AM23" s="11">
        <f t="shared" si="8"/>
        <v>-1</v>
      </c>
      <c r="AO23" s="14"/>
      <c r="AP23" s="13" t="s">
        <v>4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4</v>
      </c>
      <c r="AZ23" s="12"/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4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4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4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4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4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4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3</v>
      </c>
      <c r="C24" s="10">
        <v>27</v>
      </c>
      <c r="D24" s="12">
        <v>568285.71428566007</v>
      </c>
      <c r="F24" s="12"/>
      <c r="G24" s="11"/>
      <c r="I24" s="14"/>
      <c r="J24" s="13" t="s">
        <v>3</v>
      </c>
      <c r="K24" s="10">
        <v>16</v>
      </c>
      <c r="L24" s="12">
        <v>381904.76190469001</v>
      </c>
      <c r="M24" s="10">
        <f t="shared" si="0"/>
        <v>-11</v>
      </c>
      <c r="N24" s="12">
        <f t="shared" si="0"/>
        <v>-186380.95238097006</v>
      </c>
      <c r="O24" s="11">
        <f t="shared" si="1"/>
        <v>-0.32797050444115505</v>
      </c>
      <c r="Q24" s="14"/>
      <c r="R24" s="13" t="s">
        <v>3</v>
      </c>
      <c r="T24" s="12"/>
      <c r="U24" s="10">
        <f t="shared" si="2"/>
        <v>-16</v>
      </c>
      <c r="V24" s="12">
        <f t="shared" si="3"/>
        <v>-381904.76190469001</v>
      </c>
      <c r="W24" s="11">
        <f t="shared" si="4"/>
        <v>-1</v>
      </c>
      <c r="Y24" s="14"/>
      <c r="Z24" s="13"/>
      <c r="AB24" s="12">
        <v>385999.99999995006</v>
      </c>
      <c r="AC24" s="10">
        <f t="shared" si="5"/>
        <v>0</v>
      </c>
      <c r="AD24" s="12">
        <f t="shared" si="5"/>
        <v>385999.99999995006</v>
      </c>
      <c r="AE24" s="11" t="e">
        <f t="shared" si="6"/>
        <v>#DIV/0!</v>
      </c>
      <c r="AG24" s="14"/>
      <c r="AH24" s="13" t="s">
        <v>3</v>
      </c>
      <c r="AI24" s="13"/>
      <c r="AJ24" s="45"/>
      <c r="AK24" s="10">
        <f t="shared" si="7"/>
        <v>0</v>
      </c>
      <c r="AL24" s="12">
        <f t="shared" si="7"/>
        <v>-385999.99999995006</v>
      </c>
      <c r="AM24" s="11">
        <f t="shared" si="8"/>
        <v>-1</v>
      </c>
      <c r="AO24" s="14"/>
      <c r="AP24" s="13" t="s">
        <v>3</v>
      </c>
      <c r="AR24" s="12"/>
      <c r="AS24" s="10">
        <f t="shared" si="9"/>
        <v>0</v>
      </c>
      <c r="AT24" s="12">
        <f t="shared" si="9"/>
        <v>0</v>
      </c>
      <c r="AU24" s="11" t="e">
        <f t="shared" si="10"/>
        <v>#DIV/0!</v>
      </c>
      <c r="AW24" s="14"/>
      <c r="AX24" s="13" t="s">
        <v>3</v>
      </c>
      <c r="AZ24" s="12"/>
      <c r="BA24" s="10">
        <f t="shared" si="11"/>
        <v>0</v>
      </c>
      <c r="BB24" s="12">
        <f t="shared" si="12"/>
        <v>0</v>
      </c>
      <c r="BC24" s="11" t="e">
        <f t="shared" si="13"/>
        <v>#DIV/0!</v>
      </c>
      <c r="BE24" s="14"/>
      <c r="BF24" s="13" t="s">
        <v>3</v>
      </c>
      <c r="BH24" s="12"/>
      <c r="BI24" s="10">
        <f t="shared" si="14"/>
        <v>0</v>
      </c>
      <c r="BJ24" s="12">
        <f t="shared" si="15"/>
        <v>0</v>
      </c>
      <c r="BK24" s="11" t="e">
        <f t="shared" si="16"/>
        <v>#DIV/0!</v>
      </c>
      <c r="BM24" s="14"/>
      <c r="BN24" s="13" t="s">
        <v>3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3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3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3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3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2</v>
      </c>
      <c r="C25" s="10">
        <v>43</v>
      </c>
      <c r="D25" s="12">
        <v>1540666.66666663</v>
      </c>
      <c r="F25" s="12"/>
      <c r="G25" s="11"/>
      <c r="I25" s="14"/>
      <c r="J25" s="13" t="s">
        <v>2</v>
      </c>
      <c r="K25" s="10">
        <v>28</v>
      </c>
      <c r="L25" s="12">
        <v>979238.09523806989</v>
      </c>
      <c r="M25" s="10">
        <f t="shared" si="0"/>
        <v>-15</v>
      </c>
      <c r="N25" s="12">
        <f t="shared" si="0"/>
        <v>-561428.57142856007</v>
      </c>
      <c r="O25" s="11">
        <f t="shared" si="1"/>
        <v>-0.3644062557952662</v>
      </c>
      <c r="Q25" s="14"/>
      <c r="R25" s="13" t="s">
        <v>2</v>
      </c>
      <c r="T25" s="12"/>
      <c r="U25" s="10">
        <f t="shared" si="2"/>
        <v>-28</v>
      </c>
      <c r="V25" s="12">
        <f t="shared" si="3"/>
        <v>-979238.09523806989</v>
      </c>
      <c r="W25" s="11">
        <f t="shared" si="4"/>
        <v>-1</v>
      </c>
      <c r="Y25" s="14"/>
      <c r="Z25" s="13"/>
      <c r="AB25" s="12">
        <v>2358857.1428570701</v>
      </c>
      <c r="AC25" s="10">
        <f t="shared" si="5"/>
        <v>0</v>
      </c>
      <c r="AD25" s="12">
        <f t="shared" si="5"/>
        <v>2358857.1428570701</v>
      </c>
      <c r="AE25" s="11" t="e">
        <f t="shared" si="6"/>
        <v>#DIV/0!</v>
      </c>
      <c r="AG25" s="14"/>
      <c r="AH25" s="13" t="s">
        <v>2</v>
      </c>
      <c r="AI25" s="13"/>
      <c r="AJ25" s="45"/>
      <c r="AK25" s="10">
        <f t="shared" si="7"/>
        <v>0</v>
      </c>
      <c r="AL25" s="12">
        <f t="shared" si="7"/>
        <v>-2358857.1428570701</v>
      </c>
      <c r="AM25" s="11">
        <f t="shared" si="8"/>
        <v>-1</v>
      </c>
      <c r="AO25" s="14"/>
      <c r="AP25" s="13" t="s">
        <v>2</v>
      </c>
      <c r="AR25" s="12"/>
      <c r="AS25" s="10">
        <f t="shared" si="9"/>
        <v>0</v>
      </c>
      <c r="AT25" s="12">
        <f t="shared" si="9"/>
        <v>0</v>
      </c>
      <c r="AU25" s="11" t="e">
        <f t="shared" si="10"/>
        <v>#DIV/0!</v>
      </c>
      <c r="AW25" s="14"/>
      <c r="AX25" s="13" t="s">
        <v>2</v>
      </c>
      <c r="AZ25" s="12"/>
      <c r="BA25" s="10">
        <f t="shared" si="11"/>
        <v>0</v>
      </c>
      <c r="BB25" s="12">
        <f t="shared" si="12"/>
        <v>0</v>
      </c>
      <c r="BC25" s="11" t="e">
        <f t="shared" si="13"/>
        <v>#DIV/0!</v>
      </c>
      <c r="BE25" s="14"/>
      <c r="BF25" s="13" t="s">
        <v>2</v>
      </c>
      <c r="BH25" s="12"/>
      <c r="BI25" s="10">
        <f t="shared" si="14"/>
        <v>0</v>
      </c>
      <c r="BJ25" s="12">
        <f t="shared" si="15"/>
        <v>0</v>
      </c>
      <c r="BK25" s="11" t="e">
        <f t="shared" si="16"/>
        <v>#DIV/0!</v>
      </c>
      <c r="BM25" s="14"/>
      <c r="BN25" s="13" t="s">
        <v>2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2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2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2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2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" customFormat="1" ht="20" customHeight="1">
      <c r="A26" s="9" t="s">
        <v>12</v>
      </c>
      <c r="B26" s="9"/>
      <c r="C26" s="8">
        <v>475</v>
      </c>
      <c r="D26" s="7">
        <v>3164597.14285619</v>
      </c>
      <c r="E26" s="27"/>
      <c r="F26" s="28"/>
      <c r="G26" s="29"/>
      <c r="I26" s="9" t="s">
        <v>12</v>
      </c>
      <c r="J26" s="9"/>
      <c r="K26" s="8">
        <v>359</v>
      </c>
      <c r="L26" s="7">
        <v>2709206.6666659401</v>
      </c>
      <c r="M26" s="27">
        <f t="shared" si="0"/>
        <v>-116</v>
      </c>
      <c r="N26" s="28">
        <f t="shared" si="0"/>
        <v>-455390.4761902499</v>
      </c>
      <c r="O26" s="29">
        <f t="shared" si="1"/>
        <v>-0.14390156333745524</v>
      </c>
      <c r="Q26" s="9" t="s">
        <v>12</v>
      </c>
      <c r="R26" s="9"/>
      <c r="S26" s="8"/>
      <c r="T26" s="7"/>
      <c r="U26" s="27">
        <f t="shared" si="2"/>
        <v>-359</v>
      </c>
      <c r="V26" s="28">
        <f t="shared" si="3"/>
        <v>-2709206.6666659401</v>
      </c>
      <c r="W26" s="29">
        <f t="shared" si="4"/>
        <v>-1</v>
      </c>
      <c r="Y26" s="9" t="s">
        <v>12</v>
      </c>
      <c r="Z26" s="9"/>
      <c r="AA26" s="8"/>
      <c r="AB26" s="7">
        <v>4884563.809522761</v>
      </c>
      <c r="AC26" s="27">
        <f t="shared" si="5"/>
        <v>0</v>
      </c>
      <c r="AD26" s="28">
        <f t="shared" si="5"/>
        <v>4884563.809522761</v>
      </c>
      <c r="AE26" s="29" t="e">
        <f t="shared" si="6"/>
        <v>#DIV/0!</v>
      </c>
      <c r="AG26" s="9" t="s">
        <v>12</v>
      </c>
      <c r="AH26" s="9"/>
      <c r="AI26" s="9"/>
      <c r="AJ26" s="46"/>
      <c r="AK26" s="27">
        <f t="shared" si="7"/>
        <v>0</v>
      </c>
      <c r="AL26" s="28">
        <f t="shared" si="7"/>
        <v>-4884563.809522761</v>
      </c>
      <c r="AM26" s="29">
        <f t="shared" si="8"/>
        <v>-1</v>
      </c>
      <c r="AO26" s="9" t="s">
        <v>12</v>
      </c>
      <c r="AP26" s="9"/>
      <c r="AQ26" s="8"/>
      <c r="AR26" s="7"/>
      <c r="AS26" s="27">
        <f t="shared" si="9"/>
        <v>0</v>
      </c>
      <c r="AT26" s="28">
        <f t="shared" si="9"/>
        <v>0</v>
      </c>
      <c r="AU26" s="29" t="e">
        <f t="shared" si="10"/>
        <v>#DIV/0!</v>
      </c>
      <c r="AW26" s="9" t="s">
        <v>12</v>
      </c>
      <c r="AX26" s="9"/>
      <c r="AY26" s="8"/>
      <c r="AZ26" s="7"/>
      <c r="BA26" s="27">
        <f t="shared" si="11"/>
        <v>0</v>
      </c>
      <c r="BB26" s="28">
        <f t="shared" si="12"/>
        <v>0</v>
      </c>
      <c r="BC26" s="29" t="e">
        <f t="shared" si="13"/>
        <v>#DIV/0!</v>
      </c>
      <c r="BE26" s="9" t="s">
        <v>12</v>
      </c>
      <c r="BF26" s="9"/>
      <c r="BG26" s="8"/>
      <c r="BH26" s="7"/>
      <c r="BI26" s="27">
        <f t="shared" si="14"/>
        <v>0</v>
      </c>
      <c r="BJ26" s="28">
        <f t="shared" si="15"/>
        <v>0</v>
      </c>
      <c r="BK26" s="29" t="e">
        <f t="shared" si="16"/>
        <v>#DIV/0!</v>
      </c>
      <c r="BM26" s="9" t="s">
        <v>12</v>
      </c>
      <c r="BN26" s="9"/>
      <c r="BO26" s="8"/>
      <c r="BP26" s="7"/>
      <c r="BQ26" s="27">
        <f t="shared" si="17"/>
        <v>0</v>
      </c>
      <c r="BR26" s="28">
        <f t="shared" si="18"/>
        <v>0</v>
      </c>
      <c r="BS26" s="29" t="e">
        <f t="shared" si="19"/>
        <v>#DIV/0!</v>
      </c>
      <c r="BU26" s="9" t="s">
        <v>12</v>
      </c>
      <c r="BV26" s="9"/>
      <c r="BW26" s="8"/>
      <c r="BX26" s="7"/>
      <c r="BY26" s="27">
        <f t="shared" si="20"/>
        <v>0</v>
      </c>
      <c r="BZ26" s="28">
        <f t="shared" si="21"/>
        <v>0</v>
      </c>
      <c r="CA26" s="29" t="e">
        <f t="shared" si="22"/>
        <v>#DIV/0!</v>
      </c>
      <c r="CC26" s="9" t="s">
        <v>12</v>
      </c>
      <c r="CD26" s="9"/>
      <c r="CE26" s="8"/>
      <c r="CF26" s="7"/>
      <c r="CG26" s="27">
        <f t="shared" si="23"/>
        <v>0</v>
      </c>
      <c r="CH26" s="28">
        <f t="shared" si="24"/>
        <v>0</v>
      </c>
      <c r="CI26" s="29" t="e">
        <f t="shared" si="25"/>
        <v>#DIV/0!</v>
      </c>
      <c r="CK26" s="9" t="s">
        <v>12</v>
      </c>
      <c r="CL26" s="9"/>
      <c r="CM26" s="8"/>
      <c r="CN26" s="7"/>
      <c r="CO26" s="27">
        <f t="shared" si="26"/>
        <v>0</v>
      </c>
      <c r="CP26" s="28">
        <f t="shared" si="27"/>
        <v>0</v>
      </c>
      <c r="CQ26" s="29" t="e">
        <f t="shared" si="28"/>
        <v>#DIV/0!</v>
      </c>
      <c r="CS26" s="9" t="s">
        <v>12</v>
      </c>
      <c r="CT26" s="9"/>
      <c r="CU26" s="8"/>
      <c r="CV26" s="7"/>
      <c r="CW26" s="27">
        <f t="shared" si="29"/>
        <v>0</v>
      </c>
      <c r="CX26" s="28">
        <f t="shared" si="30"/>
        <v>0</v>
      </c>
      <c r="CY26" s="29" t="e">
        <f t="shared" si="31"/>
        <v>#DIV/0!</v>
      </c>
    </row>
    <row r="27" spans="1:103" s="1" customFormat="1" ht="20" customHeight="1">
      <c r="A27" s="14">
        <v>77</v>
      </c>
      <c r="B27" s="32" t="s">
        <v>19</v>
      </c>
      <c r="C27" s="1">
        <v>3539</v>
      </c>
      <c r="D27" s="35"/>
      <c r="E27" s="10"/>
      <c r="F27" s="12"/>
      <c r="G27" s="36"/>
      <c r="I27" s="14">
        <v>77</v>
      </c>
      <c r="J27" s="32" t="s">
        <v>19</v>
      </c>
      <c r="K27" s="1">
        <v>2311</v>
      </c>
      <c r="L27" s="35"/>
      <c r="M27" s="10">
        <f t="shared" si="0"/>
        <v>-1228</v>
      </c>
      <c r="N27" s="12">
        <f t="shared" si="0"/>
        <v>0</v>
      </c>
      <c r="O27" s="11" t="e">
        <f t="shared" si="1"/>
        <v>#DIV/0!</v>
      </c>
      <c r="Q27" s="14">
        <v>77</v>
      </c>
      <c r="R27" s="32" t="s">
        <v>19</v>
      </c>
      <c r="T27" s="35"/>
      <c r="U27" s="10">
        <f t="shared" si="2"/>
        <v>-2311</v>
      </c>
      <c r="V27" s="12">
        <f t="shared" si="3"/>
        <v>0</v>
      </c>
      <c r="W27" s="11" t="e">
        <f t="shared" si="4"/>
        <v>#DIV/0!</v>
      </c>
      <c r="Y27" s="14">
        <v>77</v>
      </c>
      <c r="Z27" s="32"/>
      <c r="AB27" s="35"/>
      <c r="AC27" s="10">
        <f t="shared" si="5"/>
        <v>0</v>
      </c>
      <c r="AD27" s="12">
        <f t="shared" si="5"/>
        <v>0</v>
      </c>
      <c r="AE27" s="11" t="e">
        <f t="shared" si="6"/>
        <v>#DIV/0!</v>
      </c>
      <c r="AG27" s="14">
        <v>77</v>
      </c>
      <c r="AH27" s="32" t="s">
        <v>19</v>
      </c>
      <c r="AI27" s="32"/>
      <c r="AJ27" s="47"/>
      <c r="AK27" s="10">
        <f t="shared" si="7"/>
        <v>0</v>
      </c>
      <c r="AL27" s="12">
        <f t="shared" si="7"/>
        <v>0</v>
      </c>
      <c r="AM27" s="11" t="e">
        <f t="shared" si="8"/>
        <v>#DIV/0!</v>
      </c>
      <c r="AO27" s="14">
        <v>77</v>
      </c>
      <c r="AP27" s="32" t="s">
        <v>19</v>
      </c>
      <c r="AR27" s="35"/>
      <c r="AS27" s="10">
        <f t="shared" si="9"/>
        <v>0</v>
      </c>
      <c r="AT27" s="12">
        <f t="shared" si="9"/>
        <v>0</v>
      </c>
      <c r="AU27" s="11" t="e">
        <f t="shared" si="10"/>
        <v>#DIV/0!</v>
      </c>
      <c r="AW27" s="14">
        <v>77</v>
      </c>
      <c r="AX27" s="32" t="s">
        <v>19</v>
      </c>
      <c r="AZ27" s="35"/>
      <c r="BA27" s="10">
        <f t="shared" si="11"/>
        <v>0</v>
      </c>
      <c r="BB27" s="12">
        <f t="shared" si="12"/>
        <v>0</v>
      </c>
      <c r="BC27" s="11" t="e">
        <f t="shared" si="13"/>
        <v>#DIV/0!</v>
      </c>
      <c r="BE27" s="14">
        <v>77</v>
      </c>
      <c r="BF27" s="32" t="s">
        <v>19</v>
      </c>
      <c r="BH27" s="35"/>
      <c r="BI27" s="10">
        <f t="shared" si="14"/>
        <v>0</v>
      </c>
      <c r="BJ27" s="12">
        <f t="shared" si="15"/>
        <v>0</v>
      </c>
      <c r="BK27" s="11" t="e">
        <f t="shared" si="16"/>
        <v>#DIV/0!</v>
      </c>
      <c r="BM27" s="14">
        <v>77</v>
      </c>
      <c r="BN27" s="32" t="s">
        <v>19</v>
      </c>
      <c r="BP27" s="35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>
        <v>77</v>
      </c>
      <c r="BV27" s="32" t="s">
        <v>19</v>
      </c>
      <c r="BW27" s="15"/>
      <c r="BX27" s="33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>
        <v>77</v>
      </c>
      <c r="CD27" s="32" t="s">
        <v>19</v>
      </c>
      <c r="CE27" s="15"/>
      <c r="CF27" s="33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>
        <v>77</v>
      </c>
      <c r="CL27" s="32" t="s">
        <v>19</v>
      </c>
      <c r="CM27" s="15"/>
      <c r="CN27" s="33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>
        <v>77</v>
      </c>
      <c r="CT27" s="32" t="s">
        <v>19</v>
      </c>
      <c r="CU27" s="15"/>
      <c r="CV27" s="33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14"/>
      <c r="B28" s="32" t="s">
        <v>20</v>
      </c>
      <c r="C28" s="1">
        <v>7</v>
      </c>
      <c r="D28" s="35"/>
      <c r="E28" s="10"/>
      <c r="F28" s="12"/>
      <c r="G28" s="36"/>
      <c r="I28" s="14"/>
      <c r="J28" s="32" t="s">
        <v>20</v>
      </c>
      <c r="L28" s="35"/>
      <c r="M28" s="10">
        <f t="shared" si="0"/>
        <v>-7</v>
      </c>
      <c r="N28" s="12">
        <f t="shared" si="0"/>
        <v>0</v>
      </c>
      <c r="O28" s="11" t="e">
        <f t="shared" si="1"/>
        <v>#DIV/0!</v>
      </c>
      <c r="Q28" s="14"/>
      <c r="R28" s="32" t="s">
        <v>20</v>
      </c>
      <c r="T28" s="35"/>
      <c r="U28" s="10">
        <f t="shared" si="2"/>
        <v>0</v>
      </c>
      <c r="V28" s="12">
        <f t="shared" si="3"/>
        <v>0</v>
      </c>
      <c r="W28" s="11" t="e">
        <f t="shared" si="4"/>
        <v>#DIV/0!</v>
      </c>
      <c r="Y28" s="14"/>
      <c r="Z28" s="32"/>
      <c r="AB28" s="35"/>
      <c r="AC28" s="10">
        <f t="shared" si="5"/>
        <v>0</v>
      </c>
      <c r="AD28" s="12">
        <f t="shared" si="5"/>
        <v>0</v>
      </c>
      <c r="AE28" s="11" t="e">
        <f t="shared" si="6"/>
        <v>#DIV/0!</v>
      </c>
      <c r="AG28" s="14"/>
      <c r="AH28" s="32" t="s">
        <v>20</v>
      </c>
      <c r="AI28" s="32"/>
      <c r="AJ28" s="47"/>
      <c r="AK28" s="10">
        <f t="shared" si="7"/>
        <v>0</v>
      </c>
      <c r="AL28" s="12">
        <f t="shared" si="7"/>
        <v>0</v>
      </c>
      <c r="AM28" s="11" t="e">
        <f t="shared" si="8"/>
        <v>#DIV/0!</v>
      </c>
      <c r="AO28" s="14"/>
      <c r="AP28" s="32" t="s">
        <v>20</v>
      </c>
      <c r="AR28" s="35"/>
      <c r="AS28" s="10">
        <f t="shared" si="9"/>
        <v>0</v>
      </c>
      <c r="AT28" s="12">
        <f t="shared" si="9"/>
        <v>0</v>
      </c>
      <c r="AU28" s="11" t="e">
        <f t="shared" si="10"/>
        <v>#DIV/0!</v>
      </c>
      <c r="AW28" s="14"/>
      <c r="AX28" s="32" t="s">
        <v>20</v>
      </c>
      <c r="AZ28" s="35"/>
      <c r="BA28" s="10">
        <f t="shared" si="11"/>
        <v>0</v>
      </c>
      <c r="BB28" s="12">
        <f t="shared" si="12"/>
        <v>0</v>
      </c>
      <c r="BC28" s="11" t="e">
        <f t="shared" si="13"/>
        <v>#DIV/0!</v>
      </c>
      <c r="BE28" s="14"/>
      <c r="BF28" s="32" t="s">
        <v>20</v>
      </c>
      <c r="BH28" s="35"/>
      <c r="BI28" s="10">
        <f t="shared" si="14"/>
        <v>0</v>
      </c>
      <c r="BJ28" s="12">
        <f t="shared" si="15"/>
        <v>0</v>
      </c>
      <c r="BK28" s="11" t="e">
        <f t="shared" si="16"/>
        <v>#DIV/0!</v>
      </c>
      <c r="BM28" s="14"/>
      <c r="BN28" s="32" t="s">
        <v>20</v>
      </c>
      <c r="BP28" s="35"/>
      <c r="BQ28" s="10">
        <f t="shared" si="17"/>
        <v>0</v>
      </c>
      <c r="BR28" s="12">
        <f t="shared" si="18"/>
        <v>0</v>
      </c>
      <c r="BS28" s="11" t="e">
        <f t="shared" si="19"/>
        <v>#DIV/0!</v>
      </c>
      <c r="BU28" s="14"/>
      <c r="BV28" s="32" t="s">
        <v>20</v>
      </c>
      <c r="BW28" s="15"/>
      <c r="BX28" s="33"/>
      <c r="BY28" s="10">
        <f t="shared" si="20"/>
        <v>0</v>
      </c>
      <c r="BZ28" s="12">
        <f t="shared" si="21"/>
        <v>0</v>
      </c>
      <c r="CA28" s="11" t="e">
        <f t="shared" si="22"/>
        <v>#DIV/0!</v>
      </c>
      <c r="CC28" s="14"/>
      <c r="CD28" s="32" t="s">
        <v>20</v>
      </c>
      <c r="CE28" s="15"/>
      <c r="CF28" s="33"/>
      <c r="CG28" s="10">
        <f t="shared" si="23"/>
        <v>0</v>
      </c>
      <c r="CH28" s="12">
        <f t="shared" si="24"/>
        <v>0</v>
      </c>
      <c r="CI28" s="11" t="e">
        <f t="shared" si="25"/>
        <v>#DIV/0!</v>
      </c>
      <c r="CK28" s="14"/>
      <c r="CL28" s="32" t="s">
        <v>20</v>
      </c>
      <c r="CM28" s="15"/>
      <c r="CN28" s="33"/>
      <c r="CO28" s="10">
        <f t="shared" si="26"/>
        <v>0</v>
      </c>
      <c r="CP28" s="12">
        <f t="shared" si="27"/>
        <v>0</v>
      </c>
      <c r="CQ28" s="11" t="e">
        <f t="shared" si="28"/>
        <v>#DIV/0!</v>
      </c>
      <c r="CS28" s="14"/>
      <c r="CT28" s="32" t="s">
        <v>20</v>
      </c>
      <c r="CU28" s="15"/>
      <c r="CV28" s="33"/>
      <c r="CW28" s="10">
        <f t="shared" si="29"/>
        <v>0</v>
      </c>
      <c r="CX28" s="12">
        <f t="shared" si="30"/>
        <v>0</v>
      </c>
      <c r="CY28" s="11" t="e">
        <f t="shared" si="31"/>
        <v>#DIV/0!</v>
      </c>
    </row>
    <row r="29" spans="1:103" s="10" customFormat="1" ht="20" customHeight="1">
      <c r="A29" s="14"/>
      <c r="B29" s="13" t="s">
        <v>9</v>
      </c>
      <c r="C29" s="10">
        <v>77</v>
      </c>
      <c r="D29" s="12">
        <v>84747.619047319968</v>
      </c>
      <c r="F29" s="12"/>
      <c r="G29" s="11"/>
      <c r="I29" s="14"/>
      <c r="J29" s="13" t="s">
        <v>9</v>
      </c>
      <c r="K29" s="10">
        <v>63</v>
      </c>
      <c r="L29" s="12">
        <v>74600.952380670016</v>
      </c>
      <c r="M29" s="10">
        <f t="shared" si="0"/>
        <v>-14</v>
      </c>
      <c r="N29" s="12">
        <f t="shared" si="0"/>
        <v>-10146.666666649951</v>
      </c>
      <c r="O29" s="11">
        <f t="shared" si="1"/>
        <v>-0.11972804405259367</v>
      </c>
      <c r="Q29" s="14"/>
      <c r="R29" s="13" t="s">
        <v>9</v>
      </c>
      <c r="T29" s="12"/>
      <c r="U29" s="10">
        <f t="shared" si="2"/>
        <v>-63</v>
      </c>
      <c r="V29" s="12">
        <f t="shared" si="3"/>
        <v>-74600.952380670016</v>
      </c>
      <c r="W29" s="11">
        <f t="shared" si="4"/>
        <v>-1</v>
      </c>
      <c r="Y29" s="14"/>
      <c r="Z29" s="13"/>
      <c r="AB29" s="12">
        <v>92987.619047320011</v>
      </c>
      <c r="AC29" s="10">
        <f t="shared" si="5"/>
        <v>0</v>
      </c>
      <c r="AD29" s="12">
        <f t="shared" si="5"/>
        <v>92987.619047320011</v>
      </c>
      <c r="AE29" s="11" t="e">
        <f t="shared" si="6"/>
        <v>#DIV/0!</v>
      </c>
      <c r="AG29" s="14"/>
      <c r="AH29" s="13" t="s">
        <v>9</v>
      </c>
      <c r="AI29" s="13"/>
      <c r="AJ29" s="45"/>
      <c r="AK29" s="10">
        <f t="shared" si="7"/>
        <v>0</v>
      </c>
      <c r="AL29" s="12">
        <f t="shared" si="7"/>
        <v>-92987.619047320011</v>
      </c>
      <c r="AM29" s="11">
        <f t="shared" si="8"/>
        <v>-1</v>
      </c>
      <c r="AO29" s="14"/>
      <c r="AP29" s="13" t="s">
        <v>9</v>
      </c>
      <c r="AR29" s="12"/>
      <c r="AS29" s="10">
        <f t="shared" si="9"/>
        <v>0</v>
      </c>
      <c r="AT29" s="12">
        <f t="shared" si="9"/>
        <v>0</v>
      </c>
      <c r="AU29" s="11" t="e">
        <f t="shared" si="10"/>
        <v>#DIV/0!</v>
      </c>
      <c r="AW29" s="14"/>
      <c r="AX29" s="13" t="s">
        <v>9</v>
      </c>
      <c r="AZ29" s="12"/>
      <c r="BA29" s="10">
        <f t="shared" si="11"/>
        <v>0</v>
      </c>
      <c r="BB29" s="12">
        <f t="shared" si="12"/>
        <v>0</v>
      </c>
      <c r="BC29" s="11" t="e">
        <f t="shared" si="13"/>
        <v>#DIV/0!</v>
      </c>
      <c r="BE29" s="14"/>
      <c r="BF29" s="13" t="s">
        <v>9</v>
      </c>
      <c r="BH29" s="12"/>
      <c r="BI29" s="10">
        <f t="shared" si="14"/>
        <v>0</v>
      </c>
      <c r="BJ29" s="12">
        <f t="shared" si="15"/>
        <v>0</v>
      </c>
      <c r="BK29" s="11" t="e">
        <f t="shared" si="16"/>
        <v>#DIV/0!</v>
      </c>
      <c r="BM29" s="14"/>
      <c r="BN29" s="13" t="s">
        <v>9</v>
      </c>
      <c r="BP29" s="12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/>
      <c r="BV29" s="13" t="s">
        <v>9</v>
      </c>
      <c r="BX29" s="12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/>
      <c r="CD29" s="13" t="s">
        <v>9</v>
      </c>
      <c r="CF29" s="12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/>
      <c r="CL29" s="13" t="s">
        <v>9</v>
      </c>
      <c r="CN29" s="12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/>
      <c r="CT29" s="13" t="s">
        <v>9</v>
      </c>
      <c r="CV29" s="12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0" customFormat="1" ht="20" customHeight="1">
      <c r="A30" s="14"/>
      <c r="B30" s="13" t="s">
        <v>8</v>
      </c>
      <c r="C30" s="10">
        <v>47</v>
      </c>
      <c r="D30" s="12">
        <v>48895.238095150009</v>
      </c>
      <c r="F30" s="12"/>
      <c r="G30" s="11"/>
      <c r="I30" s="14"/>
      <c r="J30" s="13" t="s">
        <v>8</v>
      </c>
      <c r="K30" s="10">
        <v>44</v>
      </c>
      <c r="L30" s="12">
        <v>39866.666666610006</v>
      </c>
      <c r="M30" s="10">
        <f t="shared" si="0"/>
        <v>-3</v>
      </c>
      <c r="N30" s="12">
        <f t="shared" si="0"/>
        <v>-9028.5714285400027</v>
      </c>
      <c r="O30" s="11">
        <f t="shared" si="1"/>
        <v>-0.18465134398099106</v>
      </c>
      <c r="Q30" s="14"/>
      <c r="R30" s="13" t="s">
        <v>8</v>
      </c>
      <c r="T30" s="12"/>
      <c r="U30" s="10">
        <f t="shared" si="2"/>
        <v>-44</v>
      </c>
      <c r="V30" s="12">
        <f t="shared" si="3"/>
        <v>-39866.666666610006</v>
      </c>
      <c r="W30" s="11">
        <f t="shared" si="4"/>
        <v>-1</v>
      </c>
      <c r="Y30" s="14"/>
      <c r="Z30" s="13"/>
      <c r="AB30" s="12">
        <v>37430.476190390007</v>
      </c>
      <c r="AC30" s="10">
        <f t="shared" si="5"/>
        <v>0</v>
      </c>
      <c r="AD30" s="12">
        <f t="shared" si="5"/>
        <v>37430.476190390007</v>
      </c>
      <c r="AE30" s="11" t="e">
        <f t="shared" si="6"/>
        <v>#DIV/0!</v>
      </c>
      <c r="AG30" s="14"/>
      <c r="AH30" s="13" t="s">
        <v>8</v>
      </c>
      <c r="AI30" s="13"/>
      <c r="AJ30" s="45"/>
      <c r="AK30" s="10">
        <f t="shared" si="7"/>
        <v>0</v>
      </c>
      <c r="AL30" s="12">
        <f t="shared" si="7"/>
        <v>-37430.476190390007</v>
      </c>
      <c r="AM30" s="11">
        <f t="shared" si="8"/>
        <v>-1</v>
      </c>
      <c r="AO30" s="14"/>
      <c r="AP30" s="13" t="s">
        <v>8</v>
      </c>
      <c r="AR30" s="12"/>
      <c r="AS30" s="10">
        <f t="shared" si="9"/>
        <v>0</v>
      </c>
      <c r="AT30" s="12">
        <f t="shared" si="9"/>
        <v>0</v>
      </c>
      <c r="AU30" s="11" t="e">
        <f t="shared" si="10"/>
        <v>#DIV/0!</v>
      </c>
      <c r="AW30" s="14"/>
      <c r="AX30" s="13" t="s">
        <v>8</v>
      </c>
      <c r="AZ30" s="12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13" t="s">
        <v>8</v>
      </c>
      <c r="BH30" s="12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13" t="s">
        <v>8</v>
      </c>
      <c r="BP30" s="12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13" t="s">
        <v>8</v>
      </c>
      <c r="BX30" s="12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13" t="s">
        <v>8</v>
      </c>
      <c r="CF30" s="12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13" t="s">
        <v>8</v>
      </c>
      <c r="CN30" s="12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13" t="s">
        <v>8</v>
      </c>
      <c r="CV30" s="12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7</v>
      </c>
      <c r="C31" s="10">
        <v>13</v>
      </c>
      <c r="D31" s="12">
        <v>101304.76190474999</v>
      </c>
      <c r="F31" s="12"/>
      <c r="G31" s="11"/>
      <c r="I31" s="14"/>
      <c r="J31" s="13" t="s">
        <v>7</v>
      </c>
      <c r="K31" s="10">
        <v>15</v>
      </c>
      <c r="L31" s="12">
        <v>96999.999999989988</v>
      </c>
      <c r="M31" s="10">
        <f t="shared" si="0"/>
        <v>2</v>
      </c>
      <c r="N31" s="12">
        <f t="shared" si="0"/>
        <v>-4304.7619047600019</v>
      </c>
      <c r="O31" s="11">
        <f t="shared" si="1"/>
        <v>-4.2493184168454767E-2</v>
      </c>
      <c r="Q31" s="14"/>
      <c r="R31" s="13" t="s">
        <v>7</v>
      </c>
      <c r="T31" s="12"/>
      <c r="U31" s="10">
        <f t="shared" si="2"/>
        <v>-15</v>
      </c>
      <c r="V31" s="12">
        <f t="shared" si="3"/>
        <v>-96999.999999989988</v>
      </c>
      <c r="W31" s="11">
        <f t="shared" si="4"/>
        <v>-1</v>
      </c>
      <c r="Y31" s="14"/>
      <c r="Z31" s="13"/>
      <c r="AB31" s="12">
        <v>74076.190476179996</v>
      </c>
      <c r="AC31" s="10">
        <f t="shared" si="5"/>
        <v>0</v>
      </c>
      <c r="AD31" s="12">
        <f t="shared" si="5"/>
        <v>74076.190476179996</v>
      </c>
      <c r="AE31" s="11" t="e">
        <f t="shared" si="6"/>
        <v>#DIV/0!</v>
      </c>
      <c r="AG31" s="14"/>
      <c r="AH31" s="13" t="s">
        <v>7</v>
      </c>
      <c r="AI31" s="13"/>
      <c r="AJ31" s="45"/>
      <c r="AK31" s="10">
        <f t="shared" si="7"/>
        <v>0</v>
      </c>
      <c r="AL31" s="12">
        <f t="shared" si="7"/>
        <v>-74076.190476179996</v>
      </c>
      <c r="AM31" s="11">
        <f t="shared" si="8"/>
        <v>-1</v>
      </c>
      <c r="AO31" s="14"/>
      <c r="AP31" s="13" t="s">
        <v>7</v>
      </c>
      <c r="AR31" s="12"/>
      <c r="AS31" s="10">
        <f t="shared" si="9"/>
        <v>0</v>
      </c>
      <c r="AT31" s="12">
        <f t="shared" si="9"/>
        <v>0</v>
      </c>
      <c r="AU31" s="11" t="e">
        <f t="shared" si="10"/>
        <v>#DIV/0!</v>
      </c>
      <c r="AW31" s="14"/>
      <c r="AX31" s="13" t="s">
        <v>7</v>
      </c>
      <c r="AZ31" s="12"/>
      <c r="BA31" s="10">
        <f t="shared" si="11"/>
        <v>0</v>
      </c>
      <c r="BB31" s="12">
        <f t="shared" si="12"/>
        <v>0</v>
      </c>
      <c r="BC31" s="11" t="e">
        <f t="shared" si="13"/>
        <v>#DIV/0!</v>
      </c>
      <c r="BE31" s="14"/>
      <c r="BF31" s="13" t="s">
        <v>7</v>
      </c>
      <c r="BH31" s="12"/>
      <c r="BI31" s="10">
        <f t="shared" si="14"/>
        <v>0</v>
      </c>
      <c r="BJ31" s="12">
        <f t="shared" si="15"/>
        <v>0</v>
      </c>
      <c r="BK31" s="11" t="e">
        <f t="shared" si="16"/>
        <v>#DIV/0!</v>
      </c>
      <c r="BM31" s="14"/>
      <c r="BN31" s="13" t="s">
        <v>7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7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7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7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7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6</v>
      </c>
      <c r="C32" s="10">
        <v>13</v>
      </c>
      <c r="D32" s="12">
        <v>164190.47619043002</v>
      </c>
      <c r="F32" s="12"/>
      <c r="G32" s="11"/>
      <c r="I32" s="14"/>
      <c r="J32" s="13" t="s">
        <v>6</v>
      </c>
      <c r="K32" s="10">
        <v>9</v>
      </c>
      <c r="L32" s="12">
        <v>110571.4285714</v>
      </c>
      <c r="M32" s="10">
        <f t="shared" si="0"/>
        <v>-4</v>
      </c>
      <c r="N32" s="12">
        <f t="shared" si="0"/>
        <v>-53619.047619030025</v>
      </c>
      <c r="O32" s="11">
        <f t="shared" si="1"/>
        <v>-0.32656612529000789</v>
      </c>
      <c r="Q32" s="14"/>
      <c r="R32" s="13" t="s">
        <v>6</v>
      </c>
      <c r="T32" s="12"/>
      <c r="U32" s="10">
        <f t="shared" si="2"/>
        <v>-9</v>
      </c>
      <c r="V32" s="12">
        <f t="shared" si="3"/>
        <v>-110571.4285714</v>
      </c>
      <c r="W32" s="11">
        <f t="shared" si="4"/>
        <v>-1</v>
      </c>
      <c r="Y32" s="14"/>
      <c r="Z32" s="13"/>
      <c r="AB32" s="12">
        <v>142666.66666663002</v>
      </c>
      <c r="AC32" s="10">
        <f t="shared" si="5"/>
        <v>0</v>
      </c>
      <c r="AD32" s="12">
        <f t="shared" si="5"/>
        <v>142666.66666663002</v>
      </c>
      <c r="AE32" s="11" t="e">
        <f t="shared" si="6"/>
        <v>#DIV/0!</v>
      </c>
      <c r="AG32" s="14"/>
      <c r="AH32" s="13" t="s">
        <v>6</v>
      </c>
      <c r="AI32" s="13"/>
      <c r="AJ32" s="45"/>
      <c r="AK32" s="10">
        <f t="shared" si="7"/>
        <v>0</v>
      </c>
      <c r="AL32" s="12">
        <f t="shared" si="7"/>
        <v>-142666.66666663002</v>
      </c>
      <c r="AM32" s="11">
        <f t="shared" si="8"/>
        <v>-1</v>
      </c>
      <c r="AO32" s="14"/>
      <c r="AP32" s="13" t="s">
        <v>6</v>
      </c>
      <c r="AR32" s="12"/>
      <c r="AS32" s="10">
        <f t="shared" si="9"/>
        <v>0</v>
      </c>
      <c r="AT32" s="12">
        <f t="shared" si="9"/>
        <v>0</v>
      </c>
      <c r="AU32" s="11" t="e">
        <f t="shared" si="10"/>
        <v>#DIV/0!</v>
      </c>
      <c r="AW32" s="14"/>
      <c r="AX32" s="13" t="s">
        <v>6</v>
      </c>
      <c r="AZ32" s="12"/>
      <c r="BA32" s="10">
        <f t="shared" si="11"/>
        <v>0</v>
      </c>
      <c r="BB32" s="12">
        <f t="shared" si="12"/>
        <v>0</v>
      </c>
      <c r="BC32" s="11" t="e">
        <f t="shared" si="13"/>
        <v>#DIV/0!</v>
      </c>
      <c r="BE32" s="14"/>
      <c r="BF32" s="13" t="s">
        <v>6</v>
      </c>
      <c r="BH32" s="12"/>
      <c r="BI32" s="10">
        <f t="shared" si="14"/>
        <v>0</v>
      </c>
      <c r="BJ32" s="12">
        <f t="shared" si="15"/>
        <v>0</v>
      </c>
      <c r="BK32" s="11" t="e">
        <f t="shared" si="16"/>
        <v>#DIV/0!</v>
      </c>
      <c r="BM32" s="14"/>
      <c r="BN32" s="13" t="s">
        <v>6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6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6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6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6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5</v>
      </c>
      <c r="C33" s="10">
        <v>4</v>
      </c>
      <c r="D33" s="12">
        <v>14760</v>
      </c>
      <c r="F33" s="12"/>
      <c r="G33" s="11"/>
      <c r="I33" s="14"/>
      <c r="J33" s="13" t="s">
        <v>5</v>
      </c>
      <c r="K33" s="10">
        <v>2</v>
      </c>
      <c r="L33" s="12">
        <v>3880</v>
      </c>
      <c r="M33" s="10">
        <f t="shared" si="0"/>
        <v>-2</v>
      </c>
      <c r="N33" s="12">
        <f t="shared" si="0"/>
        <v>-10880</v>
      </c>
      <c r="O33" s="11">
        <f t="shared" si="1"/>
        <v>-0.73712737127371275</v>
      </c>
      <c r="Q33" s="14"/>
      <c r="R33" s="13" t="s">
        <v>5</v>
      </c>
      <c r="T33" s="12"/>
      <c r="U33" s="10">
        <f t="shared" si="2"/>
        <v>-2</v>
      </c>
      <c r="V33" s="12">
        <f t="shared" si="3"/>
        <v>-3880</v>
      </c>
      <c r="W33" s="11">
        <f t="shared" si="4"/>
        <v>-1</v>
      </c>
      <c r="Y33" s="14"/>
      <c r="Z33" s="13"/>
      <c r="AB33" s="12">
        <v>2857.1428571400002</v>
      </c>
      <c r="AC33" s="10">
        <f t="shared" si="5"/>
        <v>0</v>
      </c>
      <c r="AD33" s="12">
        <f t="shared" si="5"/>
        <v>2857.1428571400002</v>
      </c>
      <c r="AE33" s="11" t="e">
        <f t="shared" si="6"/>
        <v>#DIV/0!</v>
      </c>
      <c r="AG33" s="14"/>
      <c r="AH33" s="13" t="s">
        <v>5</v>
      </c>
      <c r="AI33" s="13"/>
      <c r="AJ33" s="45"/>
      <c r="AK33" s="10">
        <f t="shared" si="7"/>
        <v>0</v>
      </c>
      <c r="AL33" s="12">
        <f t="shared" si="7"/>
        <v>-2857.1428571400002</v>
      </c>
      <c r="AM33" s="11">
        <f t="shared" si="8"/>
        <v>-1</v>
      </c>
      <c r="AO33" s="14"/>
      <c r="AP33" s="13" t="s">
        <v>5</v>
      </c>
      <c r="AR33" s="12"/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5</v>
      </c>
      <c r="AZ33" s="12"/>
      <c r="BA33" s="10">
        <f t="shared" si="11"/>
        <v>0</v>
      </c>
      <c r="BB33" s="12">
        <f t="shared" si="12"/>
        <v>0</v>
      </c>
      <c r="BC33" s="11" t="e">
        <f t="shared" si="13"/>
        <v>#DIV/0!</v>
      </c>
      <c r="BE33" s="14"/>
      <c r="BF33" s="13" t="s">
        <v>5</v>
      </c>
      <c r="BH33" s="12"/>
      <c r="BI33" s="10">
        <f t="shared" si="14"/>
        <v>0</v>
      </c>
      <c r="BJ33" s="12">
        <f t="shared" si="15"/>
        <v>0</v>
      </c>
      <c r="BK33" s="11" t="e">
        <f t="shared" si="16"/>
        <v>#DIV/0!</v>
      </c>
      <c r="BM33" s="14"/>
      <c r="BN33" s="13" t="s">
        <v>5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5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5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5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5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4</v>
      </c>
      <c r="C34" s="10">
        <v>3</v>
      </c>
      <c r="D34" s="12">
        <v>124759.04761904001</v>
      </c>
      <c r="F34" s="12"/>
      <c r="G34" s="11"/>
      <c r="I34" s="14"/>
      <c r="J34" s="13" t="s">
        <v>4</v>
      </c>
      <c r="K34" s="10">
        <v>7</v>
      </c>
      <c r="L34" s="12">
        <v>198380.95238093002</v>
      </c>
      <c r="M34" s="10">
        <f t="shared" si="0"/>
        <v>4</v>
      </c>
      <c r="N34" s="12">
        <f t="shared" si="0"/>
        <v>73621.904761890008</v>
      </c>
      <c r="O34" s="11">
        <f t="shared" si="1"/>
        <v>0.59011275067359725</v>
      </c>
      <c r="Q34" s="14"/>
      <c r="R34" s="13" t="s">
        <v>4</v>
      </c>
      <c r="T34" s="12"/>
      <c r="U34" s="10">
        <f t="shared" si="2"/>
        <v>-7</v>
      </c>
      <c r="V34" s="12">
        <f t="shared" si="3"/>
        <v>-198380.95238093002</v>
      </c>
      <c r="W34" s="11">
        <f t="shared" si="4"/>
        <v>-1</v>
      </c>
      <c r="Y34" s="14"/>
      <c r="Z34" s="13"/>
      <c r="AB34" s="12">
        <v>19650</v>
      </c>
      <c r="AC34" s="10">
        <f t="shared" si="5"/>
        <v>0</v>
      </c>
      <c r="AD34" s="12">
        <f t="shared" si="5"/>
        <v>19650</v>
      </c>
      <c r="AE34" s="11" t="e">
        <f t="shared" si="6"/>
        <v>#DIV/0!</v>
      </c>
      <c r="AG34" s="14"/>
      <c r="AH34" s="13" t="s">
        <v>4</v>
      </c>
      <c r="AI34" s="13"/>
      <c r="AJ34" s="45"/>
      <c r="AK34" s="10">
        <f t="shared" si="7"/>
        <v>0</v>
      </c>
      <c r="AL34" s="12">
        <f t="shared" si="7"/>
        <v>-19650</v>
      </c>
      <c r="AM34" s="11">
        <f t="shared" si="8"/>
        <v>-1</v>
      </c>
      <c r="AO34" s="14"/>
      <c r="AP34" s="13" t="s">
        <v>4</v>
      </c>
      <c r="AR34" s="12"/>
      <c r="AS34" s="10">
        <f t="shared" si="9"/>
        <v>0</v>
      </c>
      <c r="AT34" s="12">
        <f t="shared" si="9"/>
        <v>0</v>
      </c>
      <c r="AU34" s="11" t="e">
        <f t="shared" si="10"/>
        <v>#DIV/0!</v>
      </c>
      <c r="AW34" s="14"/>
      <c r="AX34" s="13" t="s">
        <v>4</v>
      </c>
      <c r="AZ34" s="12"/>
      <c r="BA34" s="10">
        <f t="shared" si="11"/>
        <v>0</v>
      </c>
      <c r="BB34" s="12">
        <f t="shared" si="12"/>
        <v>0</v>
      </c>
      <c r="BC34" s="11" t="e">
        <f t="shared" si="13"/>
        <v>#DIV/0!</v>
      </c>
      <c r="BE34" s="14"/>
      <c r="BF34" s="13" t="s">
        <v>4</v>
      </c>
      <c r="BH34" s="12"/>
      <c r="BI34" s="10">
        <f t="shared" si="14"/>
        <v>0</v>
      </c>
      <c r="BJ34" s="12">
        <f t="shared" si="15"/>
        <v>0</v>
      </c>
      <c r="BK34" s="11" t="e">
        <f t="shared" si="16"/>
        <v>#DIV/0!</v>
      </c>
      <c r="BM34" s="14"/>
      <c r="BN34" s="13" t="s">
        <v>4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4</v>
      </c>
      <c r="BX34" s="12"/>
      <c r="BY34" s="10">
        <f t="shared" ref="BY34:BY60" si="32">BW34-BO34</f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4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4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4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3</v>
      </c>
      <c r="C35" s="10">
        <v>8</v>
      </c>
      <c r="D35" s="12">
        <v>145714.28571425998</v>
      </c>
      <c r="F35" s="12"/>
      <c r="G35" s="11"/>
      <c r="I35" s="14"/>
      <c r="J35" s="13" t="s">
        <v>3</v>
      </c>
      <c r="K35" s="10">
        <v>5</v>
      </c>
      <c r="L35" s="12">
        <v>116190.47619044999</v>
      </c>
      <c r="M35" s="10">
        <f t="shared" si="0"/>
        <v>-3</v>
      </c>
      <c r="N35" s="12">
        <f t="shared" si="0"/>
        <v>-29523.809523809992</v>
      </c>
      <c r="O35" s="11">
        <f t="shared" si="1"/>
        <v>-0.20261437908500632</v>
      </c>
      <c r="Q35" s="14"/>
      <c r="R35" s="13" t="s">
        <v>3</v>
      </c>
      <c r="T35" s="12"/>
      <c r="U35" s="10">
        <f t="shared" si="2"/>
        <v>-5</v>
      </c>
      <c r="V35" s="12">
        <f t="shared" si="3"/>
        <v>-116190.47619044999</v>
      </c>
      <c r="W35" s="11">
        <f t="shared" si="4"/>
        <v>-1</v>
      </c>
      <c r="Y35" s="14"/>
      <c r="Z35" s="13"/>
      <c r="AB35" s="12">
        <v>154952.38095235999</v>
      </c>
      <c r="AC35" s="10">
        <f t="shared" si="5"/>
        <v>0</v>
      </c>
      <c r="AD35" s="12">
        <f t="shared" si="5"/>
        <v>154952.38095235999</v>
      </c>
      <c r="AE35" s="11" t="e">
        <f t="shared" si="6"/>
        <v>#DIV/0!</v>
      </c>
      <c r="AG35" s="14"/>
      <c r="AH35" s="13" t="s">
        <v>3</v>
      </c>
      <c r="AI35" s="13"/>
      <c r="AJ35" s="45"/>
      <c r="AK35" s="10">
        <f t="shared" si="7"/>
        <v>0</v>
      </c>
      <c r="AL35" s="12">
        <f t="shared" si="7"/>
        <v>-154952.38095235999</v>
      </c>
      <c r="AM35" s="11">
        <f t="shared" si="8"/>
        <v>-1</v>
      </c>
      <c r="AO35" s="14"/>
      <c r="AP35" s="13" t="s">
        <v>3</v>
      </c>
      <c r="AR35" s="12"/>
      <c r="AS35" s="10">
        <f t="shared" si="9"/>
        <v>0</v>
      </c>
      <c r="AT35" s="12">
        <f t="shared" si="9"/>
        <v>0</v>
      </c>
      <c r="AU35" s="11" t="e">
        <f t="shared" si="10"/>
        <v>#DIV/0!</v>
      </c>
      <c r="AW35" s="14"/>
      <c r="AX35" s="13" t="s">
        <v>3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3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3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3</v>
      </c>
      <c r="BX35" s="12"/>
      <c r="BY35" s="10">
        <f t="shared" si="32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3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3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3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2</v>
      </c>
      <c r="C36" s="10">
        <v>14</v>
      </c>
      <c r="D36" s="12">
        <v>506285.71428568999</v>
      </c>
      <c r="F36" s="12"/>
      <c r="G36" s="11"/>
      <c r="I36" s="14"/>
      <c r="J36" s="13" t="s">
        <v>2</v>
      </c>
      <c r="K36" s="10">
        <v>13</v>
      </c>
      <c r="L36" s="12">
        <v>416857.14285712998</v>
      </c>
      <c r="M36" s="10">
        <f t="shared" si="0"/>
        <v>-1</v>
      </c>
      <c r="N36" s="12">
        <f t="shared" si="0"/>
        <v>-89428.571428560012</v>
      </c>
      <c r="O36" s="11">
        <f t="shared" si="1"/>
        <v>-0.1766365688487444</v>
      </c>
      <c r="Q36" s="14"/>
      <c r="R36" s="13" t="s">
        <v>2</v>
      </c>
      <c r="T36" s="12"/>
      <c r="U36" s="10">
        <f t="shared" si="2"/>
        <v>-13</v>
      </c>
      <c r="V36" s="12">
        <f t="shared" si="3"/>
        <v>-416857.14285712998</v>
      </c>
      <c r="W36" s="11">
        <f t="shared" si="4"/>
        <v>-1</v>
      </c>
      <c r="Y36" s="14"/>
      <c r="Z36" s="13"/>
      <c r="AB36" s="12">
        <v>236571.42857142002</v>
      </c>
      <c r="AC36" s="10">
        <f t="shared" si="5"/>
        <v>0</v>
      </c>
      <c r="AD36" s="12">
        <f t="shared" si="5"/>
        <v>236571.42857142002</v>
      </c>
      <c r="AE36" s="11" t="e">
        <f t="shared" si="6"/>
        <v>#DIV/0!</v>
      </c>
      <c r="AG36" s="14"/>
      <c r="AH36" s="13" t="s">
        <v>2</v>
      </c>
      <c r="AI36" s="13"/>
      <c r="AJ36" s="45"/>
      <c r="AK36" s="10">
        <f t="shared" si="7"/>
        <v>0</v>
      </c>
      <c r="AL36" s="12">
        <f t="shared" si="7"/>
        <v>-236571.42857142002</v>
      </c>
      <c r="AM36" s="11">
        <f t="shared" si="8"/>
        <v>-1</v>
      </c>
      <c r="AO36" s="14"/>
      <c r="AP36" s="13" t="s">
        <v>2</v>
      </c>
      <c r="AR36" s="12"/>
      <c r="AS36" s="10">
        <f t="shared" si="9"/>
        <v>0</v>
      </c>
      <c r="AT36" s="12">
        <f t="shared" si="9"/>
        <v>0</v>
      </c>
      <c r="AU36" s="11" t="e">
        <f t="shared" si="10"/>
        <v>#DIV/0!</v>
      </c>
      <c r="AW36" s="14"/>
      <c r="AX36" s="13" t="s">
        <v>2</v>
      </c>
      <c r="AZ36" s="12"/>
      <c r="BA36" s="10">
        <f t="shared" si="11"/>
        <v>0</v>
      </c>
      <c r="BB36" s="12">
        <f t="shared" si="12"/>
        <v>0</v>
      </c>
      <c r="BC36" s="11" t="e">
        <f t="shared" si="13"/>
        <v>#DIV/0!</v>
      </c>
      <c r="BE36" s="14"/>
      <c r="BF36" s="13" t="s">
        <v>2</v>
      </c>
      <c r="BH36" s="12"/>
      <c r="BI36" s="10">
        <f t="shared" si="14"/>
        <v>0</v>
      </c>
      <c r="BJ36" s="12">
        <f t="shared" si="15"/>
        <v>0</v>
      </c>
      <c r="BK36" s="11" t="e">
        <f t="shared" si="16"/>
        <v>#DIV/0!</v>
      </c>
      <c r="BM36" s="14"/>
      <c r="BN36" s="13" t="s">
        <v>2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2</v>
      </c>
      <c r="BX36" s="12"/>
      <c r="BY36" s="10">
        <f t="shared" si="32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2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2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2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" customFormat="1" ht="20" customHeight="1">
      <c r="A37" s="9" t="s">
        <v>11</v>
      </c>
      <c r="B37" s="9"/>
      <c r="C37" s="8">
        <v>179</v>
      </c>
      <c r="D37" s="7">
        <v>1190657.1428566398</v>
      </c>
      <c r="E37" s="27"/>
      <c r="F37" s="28"/>
      <c r="G37" s="29"/>
      <c r="I37" s="9" t="s">
        <v>11</v>
      </c>
      <c r="J37" s="9"/>
      <c r="K37" s="8">
        <v>158</v>
      </c>
      <c r="L37" s="7">
        <v>1057347.6190471801</v>
      </c>
      <c r="M37" s="27">
        <f t="shared" si="0"/>
        <v>-21</v>
      </c>
      <c r="N37" s="28">
        <f t="shared" si="0"/>
        <v>-133309.52380945976</v>
      </c>
      <c r="O37" s="29">
        <f t="shared" si="1"/>
        <v>-0.11196298162678624</v>
      </c>
      <c r="Q37" s="9" t="s">
        <v>11</v>
      </c>
      <c r="R37" s="9"/>
      <c r="S37" s="8"/>
      <c r="T37" s="7"/>
      <c r="U37" s="27">
        <f t="shared" si="2"/>
        <v>-158</v>
      </c>
      <c r="V37" s="28">
        <f t="shared" si="3"/>
        <v>-1057347.6190471801</v>
      </c>
      <c r="W37" s="29">
        <f t="shared" si="4"/>
        <v>-1</v>
      </c>
      <c r="Y37" s="9" t="s">
        <v>11</v>
      </c>
      <c r="Z37" s="9"/>
      <c r="AA37" s="8"/>
      <c r="AB37" s="7">
        <v>761191.90476144012</v>
      </c>
      <c r="AC37" s="27">
        <f t="shared" si="5"/>
        <v>0</v>
      </c>
      <c r="AD37" s="28">
        <f t="shared" si="5"/>
        <v>761191.90476144012</v>
      </c>
      <c r="AE37" s="29" t="e">
        <f t="shared" si="6"/>
        <v>#DIV/0!</v>
      </c>
      <c r="AG37" s="9" t="s">
        <v>11</v>
      </c>
      <c r="AH37" s="9"/>
      <c r="AI37" s="9"/>
      <c r="AJ37" s="46"/>
      <c r="AK37" s="27">
        <f t="shared" si="7"/>
        <v>0</v>
      </c>
      <c r="AL37" s="28">
        <f t="shared" si="7"/>
        <v>-761191.90476144012</v>
      </c>
      <c r="AM37" s="29">
        <f t="shared" si="8"/>
        <v>-1</v>
      </c>
      <c r="AO37" s="9" t="s">
        <v>11</v>
      </c>
      <c r="AP37" s="9"/>
      <c r="AQ37" s="8"/>
      <c r="AR37" s="7"/>
      <c r="AS37" s="27">
        <f t="shared" si="9"/>
        <v>0</v>
      </c>
      <c r="AT37" s="28">
        <f t="shared" si="9"/>
        <v>0</v>
      </c>
      <c r="AU37" s="29" t="e">
        <f t="shared" si="10"/>
        <v>#DIV/0!</v>
      </c>
      <c r="AW37" s="9" t="s">
        <v>11</v>
      </c>
      <c r="AX37" s="9"/>
      <c r="AY37" s="8"/>
      <c r="AZ37" s="7"/>
      <c r="BA37" s="27">
        <f t="shared" si="11"/>
        <v>0</v>
      </c>
      <c r="BB37" s="28">
        <f t="shared" si="12"/>
        <v>0</v>
      </c>
      <c r="BC37" s="29" t="e">
        <f t="shared" si="13"/>
        <v>#DIV/0!</v>
      </c>
      <c r="BE37" s="9" t="s">
        <v>11</v>
      </c>
      <c r="BF37" s="9"/>
      <c r="BG37" s="8"/>
      <c r="BH37" s="7"/>
      <c r="BI37" s="27">
        <f t="shared" si="14"/>
        <v>0</v>
      </c>
      <c r="BJ37" s="28">
        <f t="shared" si="15"/>
        <v>0</v>
      </c>
      <c r="BK37" s="29" t="e">
        <f t="shared" si="16"/>
        <v>#DIV/0!</v>
      </c>
      <c r="BM37" s="9" t="s">
        <v>11</v>
      </c>
      <c r="BN37" s="9"/>
      <c r="BO37" s="8"/>
      <c r="BP37" s="7"/>
      <c r="BQ37" s="27">
        <f t="shared" si="17"/>
        <v>0</v>
      </c>
      <c r="BR37" s="28">
        <f t="shared" si="18"/>
        <v>0</v>
      </c>
      <c r="BS37" s="29" t="e">
        <f t="shared" si="19"/>
        <v>#DIV/0!</v>
      </c>
      <c r="BU37" s="9" t="s">
        <v>11</v>
      </c>
      <c r="BV37" s="9"/>
      <c r="BW37" s="8"/>
      <c r="BX37" s="7"/>
      <c r="BY37" s="27">
        <f t="shared" si="32"/>
        <v>0</v>
      </c>
      <c r="BZ37" s="28">
        <f t="shared" si="21"/>
        <v>0</v>
      </c>
      <c r="CA37" s="29" t="e">
        <f t="shared" si="22"/>
        <v>#DIV/0!</v>
      </c>
      <c r="CC37" s="9" t="s">
        <v>11</v>
      </c>
      <c r="CD37" s="9"/>
      <c r="CE37" s="8"/>
      <c r="CF37" s="7"/>
      <c r="CG37" s="27">
        <f t="shared" si="23"/>
        <v>0</v>
      </c>
      <c r="CH37" s="28">
        <f t="shared" si="24"/>
        <v>0</v>
      </c>
      <c r="CI37" s="29" t="e">
        <f t="shared" si="25"/>
        <v>#DIV/0!</v>
      </c>
      <c r="CK37" s="9" t="s">
        <v>11</v>
      </c>
      <c r="CL37" s="9"/>
      <c r="CM37" s="8"/>
      <c r="CN37" s="7"/>
      <c r="CO37" s="27">
        <f t="shared" si="26"/>
        <v>0</v>
      </c>
      <c r="CP37" s="28">
        <f t="shared" si="27"/>
        <v>0</v>
      </c>
      <c r="CQ37" s="29" t="e">
        <f t="shared" si="28"/>
        <v>#DIV/0!</v>
      </c>
      <c r="CS37" s="9" t="s">
        <v>11</v>
      </c>
      <c r="CT37" s="9"/>
      <c r="CU37" s="8"/>
      <c r="CV37" s="7"/>
      <c r="CW37" s="27">
        <f t="shared" si="29"/>
        <v>0</v>
      </c>
      <c r="CX37" s="28">
        <f t="shared" si="30"/>
        <v>0</v>
      </c>
      <c r="CY37" s="29" t="e">
        <f t="shared" si="31"/>
        <v>#DIV/0!</v>
      </c>
    </row>
    <row r="38" spans="1:103" s="1" customFormat="1" ht="20" customHeight="1">
      <c r="A38" s="14">
        <v>81</v>
      </c>
      <c r="B38" s="32" t="s">
        <v>19</v>
      </c>
      <c r="C38" s="1">
        <v>1818</v>
      </c>
      <c r="D38" s="35"/>
      <c r="E38" s="10"/>
      <c r="F38" s="12"/>
      <c r="G38" s="36"/>
      <c r="I38" s="14">
        <v>81</v>
      </c>
      <c r="J38" s="32" t="s">
        <v>19</v>
      </c>
      <c r="K38" s="1">
        <v>1271</v>
      </c>
      <c r="L38" s="35"/>
      <c r="M38" s="10">
        <f t="shared" si="0"/>
        <v>-547</v>
      </c>
      <c r="N38" s="12">
        <f t="shared" si="0"/>
        <v>0</v>
      </c>
      <c r="O38" s="11" t="e">
        <f t="shared" si="1"/>
        <v>#DIV/0!</v>
      </c>
      <c r="Q38" s="14">
        <v>81</v>
      </c>
      <c r="R38" s="32" t="s">
        <v>19</v>
      </c>
      <c r="T38" s="35"/>
      <c r="U38" s="10">
        <f t="shared" si="2"/>
        <v>-1271</v>
      </c>
      <c r="V38" s="12">
        <f t="shared" si="3"/>
        <v>0</v>
      </c>
      <c r="W38" s="11" t="e">
        <f t="shared" si="4"/>
        <v>#DIV/0!</v>
      </c>
      <c r="Y38" s="14">
        <v>81</v>
      </c>
      <c r="Z38" s="32"/>
      <c r="AB38" s="35"/>
      <c r="AC38" s="10">
        <f t="shared" si="5"/>
        <v>0</v>
      </c>
      <c r="AD38" s="12">
        <f t="shared" si="5"/>
        <v>0</v>
      </c>
      <c r="AE38" s="11" t="e">
        <f t="shared" si="6"/>
        <v>#DIV/0!</v>
      </c>
      <c r="AG38" s="14">
        <v>81</v>
      </c>
      <c r="AH38" s="32" t="s">
        <v>19</v>
      </c>
      <c r="AI38" s="32"/>
      <c r="AJ38" s="47"/>
      <c r="AK38" s="10">
        <f t="shared" si="7"/>
        <v>0</v>
      </c>
      <c r="AL38" s="12">
        <f t="shared" si="7"/>
        <v>0</v>
      </c>
      <c r="AM38" s="11" t="e">
        <f t="shared" si="8"/>
        <v>#DIV/0!</v>
      </c>
      <c r="AO38" s="14">
        <v>81</v>
      </c>
      <c r="AP38" s="32" t="s">
        <v>19</v>
      </c>
      <c r="AR38" s="35"/>
      <c r="AS38" s="10">
        <f t="shared" si="9"/>
        <v>0</v>
      </c>
      <c r="AT38" s="12">
        <f t="shared" si="9"/>
        <v>0</v>
      </c>
      <c r="AU38" s="11" t="e">
        <f t="shared" si="10"/>
        <v>#DIV/0!</v>
      </c>
      <c r="AW38" s="14">
        <v>81</v>
      </c>
      <c r="AX38" s="32" t="s">
        <v>19</v>
      </c>
      <c r="AZ38" s="35"/>
      <c r="BA38" s="10">
        <f t="shared" si="11"/>
        <v>0</v>
      </c>
      <c r="BB38" s="12">
        <f t="shared" si="12"/>
        <v>0</v>
      </c>
      <c r="BC38" s="11" t="e">
        <f t="shared" si="13"/>
        <v>#DIV/0!</v>
      </c>
      <c r="BE38" s="14">
        <v>81</v>
      </c>
      <c r="BF38" s="32" t="s">
        <v>19</v>
      </c>
      <c r="BH38" s="35"/>
      <c r="BI38" s="10">
        <f t="shared" si="14"/>
        <v>0</v>
      </c>
      <c r="BJ38" s="12">
        <f t="shared" si="15"/>
        <v>0</v>
      </c>
      <c r="BK38" s="11" t="e">
        <f t="shared" si="16"/>
        <v>#DIV/0!</v>
      </c>
      <c r="BM38" s="14">
        <v>81</v>
      </c>
      <c r="BN38" s="32" t="s">
        <v>19</v>
      </c>
      <c r="BP38" s="35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>
        <v>81</v>
      </c>
      <c r="BV38" s="32" t="s">
        <v>19</v>
      </c>
      <c r="BW38" s="15"/>
      <c r="BX38" s="33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>
        <v>81</v>
      </c>
      <c r="CD38" s="32" t="s">
        <v>19</v>
      </c>
      <c r="CE38" s="15"/>
      <c r="CF38" s="33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>
        <v>81</v>
      </c>
      <c r="CL38" s="32" t="s">
        <v>19</v>
      </c>
      <c r="CM38" s="15"/>
      <c r="CN38" s="33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>
        <v>81</v>
      </c>
      <c r="CT38" s="32" t="s">
        <v>19</v>
      </c>
      <c r="CU38" s="15"/>
      <c r="CV38" s="33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" customFormat="1" ht="20" customHeight="1">
      <c r="A39" s="14"/>
      <c r="B39" s="32" t="s">
        <v>20</v>
      </c>
      <c r="C39" s="1">
        <v>2</v>
      </c>
      <c r="D39" s="35"/>
      <c r="E39" s="10"/>
      <c r="F39" s="12"/>
      <c r="G39" s="36"/>
      <c r="I39" s="14"/>
      <c r="J39" s="32" t="s">
        <v>20</v>
      </c>
      <c r="L39" s="35"/>
      <c r="M39" s="10">
        <f t="shared" si="0"/>
        <v>-2</v>
      </c>
      <c r="N39" s="12">
        <f t="shared" si="0"/>
        <v>0</v>
      </c>
      <c r="O39" s="11" t="e">
        <f t="shared" si="1"/>
        <v>#DIV/0!</v>
      </c>
      <c r="Q39" s="14"/>
      <c r="R39" s="32" t="s">
        <v>20</v>
      </c>
      <c r="T39" s="35"/>
      <c r="U39" s="10">
        <f t="shared" si="2"/>
        <v>0</v>
      </c>
      <c r="V39" s="12">
        <f t="shared" si="3"/>
        <v>0</v>
      </c>
      <c r="W39" s="11" t="e">
        <f t="shared" si="4"/>
        <v>#DIV/0!</v>
      </c>
      <c r="Y39" s="14"/>
      <c r="Z39" s="32"/>
      <c r="AB39" s="35"/>
      <c r="AC39" s="10">
        <f t="shared" si="5"/>
        <v>0</v>
      </c>
      <c r="AD39" s="12">
        <f t="shared" si="5"/>
        <v>0</v>
      </c>
      <c r="AE39" s="11" t="e">
        <f t="shared" si="6"/>
        <v>#DIV/0!</v>
      </c>
      <c r="AG39" s="14"/>
      <c r="AH39" s="32" t="s">
        <v>20</v>
      </c>
      <c r="AI39" s="32"/>
      <c r="AJ39" s="47"/>
      <c r="AK39" s="10">
        <f t="shared" si="7"/>
        <v>0</v>
      </c>
      <c r="AL39" s="12">
        <f t="shared" si="7"/>
        <v>0</v>
      </c>
      <c r="AM39" s="11" t="e">
        <f t="shared" si="8"/>
        <v>#DIV/0!</v>
      </c>
      <c r="AO39" s="14"/>
      <c r="AP39" s="32" t="s">
        <v>20</v>
      </c>
      <c r="AR39" s="35"/>
      <c r="AS39" s="10">
        <f t="shared" si="9"/>
        <v>0</v>
      </c>
      <c r="AT39" s="12">
        <f t="shared" si="9"/>
        <v>0</v>
      </c>
      <c r="AU39" s="11" t="e">
        <f t="shared" si="10"/>
        <v>#DIV/0!</v>
      </c>
      <c r="AW39" s="14"/>
      <c r="AX39" s="32" t="s">
        <v>20</v>
      </c>
      <c r="AZ39" s="35"/>
      <c r="BA39" s="10">
        <f t="shared" si="11"/>
        <v>0</v>
      </c>
      <c r="BB39" s="12">
        <f t="shared" si="12"/>
        <v>0</v>
      </c>
      <c r="BC39" s="11" t="e">
        <f t="shared" si="13"/>
        <v>#DIV/0!</v>
      </c>
      <c r="BE39" s="14"/>
      <c r="BF39" s="32" t="s">
        <v>20</v>
      </c>
      <c r="BH39" s="35"/>
      <c r="BI39" s="10">
        <f t="shared" si="14"/>
        <v>0</v>
      </c>
      <c r="BJ39" s="12">
        <f t="shared" si="15"/>
        <v>0</v>
      </c>
      <c r="BK39" s="11" t="e">
        <f t="shared" si="16"/>
        <v>#DIV/0!</v>
      </c>
      <c r="BM39" s="14"/>
      <c r="BN39" s="32" t="s">
        <v>20</v>
      </c>
      <c r="BP39" s="35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32" t="s">
        <v>20</v>
      </c>
      <c r="BW39" s="15"/>
      <c r="BX39" s="33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32" t="s">
        <v>20</v>
      </c>
      <c r="CE39" s="15"/>
      <c r="CF39" s="33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32" t="s">
        <v>20</v>
      </c>
      <c r="CM39" s="15"/>
      <c r="CN39" s="33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32" t="s">
        <v>20</v>
      </c>
      <c r="CU39" s="15"/>
      <c r="CV39" s="33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0" customFormat="1" ht="20" customHeight="1">
      <c r="A40" s="14"/>
      <c r="B40" s="13" t="s">
        <v>9</v>
      </c>
      <c r="C40" s="10">
        <v>86</v>
      </c>
      <c r="D40" s="12">
        <v>91735.238094819957</v>
      </c>
      <c r="F40" s="12"/>
      <c r="G40" s="11"/>
      <c r="I40" s="14"/>
      <c r="J40" s="13" t="s">
        <v>9</v>
      </c>
      <c r="K40" s="10">
        <v>69</v>
      </c>
      <c r="L40" s="12">
        <v>62975.238094860004</v>
      </c>
      <c r="M40" s="10">
        <f t="shared" si="0"/>
        <v>-17</v>
      </c>
      <c r="N40" s="12">
        <f t="shared" si="0"/>
        <v>-28759.999999959953</v>
      </c>
      <c r="O40" s="11">
        <f t="shared" si="1"/>
        <v>-0.31351093208296749</v>
      </c>
      <c r="Q40" s="14"/>
      <c r="R40" s="13" t="s">
        <v>9</v>
      </c>
      <c r="T40" s="12"/>
      <c r="U40" s="10">
        <f t="shared" si="2"/>
        <v>-69</v>
      </c>
      <c r="V40" s="12">
        <f t="shared" si="3"/>
        <v>-62975.238094860004</v>
      </c>
      <c r="W40" s="11">
        <f t="shared" si="4"/>
        <v>-1</v>
      </c>
      <c r="Y40" s="14"/>
      <c r="Z40" s="13"/>
      <c r="AB40" s="12">
        <v>64970.47619015001</v>
      </c>
      <c r="AC40" s="10">
        <f t="shared" si="5"/>
        <v>0</v>
      </c>
      <c r="AD40" s="12">
        <f t="shared" si="5"/>
        <v>64970.47619015001</v>
      </c>
      <c r="AE40" s="11" t="e">
        <f t="shared" si="6"/>
        <v>#DIV/0!</v>
      </c>
      <c r="AG40" s="14"/>
      <c r="AH40" s="13" t="s">
        <v>9</v>
      </c>
      <c r="AI40" s="13"/>
      <c r="AJ40" s="45"/>
      <c r="AK40" s="10">
        <f t="shared" si="7"/>
        <v>0</v>
      </c>
      <c r="AL40" s="12">
        <f t="shared" si="7"/>
        <v>-64970.47619015001</v>
      </c>
      <c r="AM40" s="11">
        <f t="shared" si="8"/>
        <v>-1</v>
      </c>
      <c r="AO40" s="14"/>
      <c r="AP40" s="13" t="s">
        <v>9</v>
      </c>
      <c r="AR40" s="12"/>
      <c r="AS40" s="10">
        <f t="shared" si="9"/>
        <v>0</v>
      </c>
      <c r="AT40" s="12">
        <f t="shared" si="9"/>
        <v>0</v>
      </c>
      <c r="AU40" s="11" t="e">
        <f t="shared" si="10"/>
        <v>#DIV/0!</v>
      </c>
      <c r="AW40" s="14"/>
      <c r="AX40" s="13" t="s">
        <v>9</v>
      </c>
      <c r="AZ40" s="12"/>
      <c r="BA40" s="10">
        <f t="shared" si="11"/>
        <v>0</v>
      </c>
      <c r="BB40" s="12">
        <f t="shared" si="12"/>
        <v>0</v>
      </c>
      <c r="BC40" s="11" t="e">
        <f t="shared" si="13"/>
        <v>#DIV/0!</v>
      </c>
      <c r="BE40" s="14"/>
      <c r="BF40" s="13" t="s">
        <v>9</v>
      </c>
      <c r="BH40" s="12"/>
      <c r="BI40" s="10">
        <f t="shared" si="14"/>
        <v>0</v>
      </c>
      <c r="BJ40" s="12">
        <f t="shared" si="15"/>
        <v>0</v>
      </c>
      <c r="BK40" s="11" t="e">
        <f t="shared" si="16"/>
        <v>#DIV/0!</v>
      </c>
      <c r="BM40" s="14"/>
      <c r="BN40" s="13" t="s">
        <v>9</v>
      </c>
      <c r="BP40" s="12"/>
      <c r="BQ40" s="10">
        <f t="shared" si="17"/>
        <v>0</v>
      </c>
      <c r="BR40" s="12">
        <f t="shared" si="18"/>
        <v>0</v>
      </c>
      <c r="BS40" s="11" t="e">
        <f t="shared" si="19"/>
        <v>#DIV/0!</v>
      </c>
      <c r="BU40" s="14"/>
      <c r="BV40" s="13" t="s">
        <v>9</v>
      </c>
      <c r="BX40" s="12"/>
      <c r="BY40" s="10">
        <f t="shared" si="32"/>
        <v>0</v>
      </c>
      <c r="BZ40" s="12">
        <f t="shared" si="21"/>
        <v>0</v>
      </c>
      <c r="CA40" s="11" t="e">
        <f t="shared" si="22"/>
        <v>#DIV/0!</v>
      </c>
      <c r="CC40" s="14"/>
      <c r="CD40" s="13" t="s">
        <v>9</v>
      </c>
      <c r="CF40" s="12"/>
      <c r="CG40" s="10">
        <f t="shared" si="23"/>
        <v>0</v>
      </c>
      <c r="CH40" s="12">
        <f t="shared" si="24"/>
        <v>0</v>
      </c>
      <c r="CI40" s="11" t="e">
        <f t="shared" si="25"/>
        <v>#DIV/0!</v>
      </c>
      <c r="CK40" s="14"/>
      <c r="CL40" s="13" t="s">
        <v>9</v>
      </c>
      <c r="CN40" s="12"/>
      <c r="CO40" s="10">
        <f t="shared" si="26"/>
        <v>0</v>
      </c>
      <c r="CP40" s="12">
        <f t="shared" si="27"/>
        <v>0</v>
      </c>
      <c r="CQ40" s="11" t="e">
        <f t="shared" si="28"/>
        <v>#DIV/0!</v>
      </c>
      <c r="CS40" s="14"/>
      <c r="CT40" s="13" t="s">
        <v>9</v>
      </c>
      <c r="CV40" s="12"/>
      <c r="CW40" s="10">
        <f t="shared" si="29"/>
        <v>0</v>
      </c>
      <c r="CX40" s="12">
        <f t="shared" si="30"/>
        <v>0</v>
      </c>
      <c r="CY40" s="11" t="e">
        <f t="shared" si="31"/>
        <v>#DIV/0!</v>
      </c>
    </row>
    <row r="41" spans="1:103" s="10" customFormat="1" ht="20" customHeight="1">
      <c r="A41" s="14"/>
      <c r="B41" s="13" t="s">
        <v>8</v>
      </c>
      <c r="C41" s="10">
        <v>74</v>
      </c>
      <c r="D41" s="12">
        <v>92057.142857059996</v>
      </c>
      <c r="F41" s="12"/>
      <c r="G41" s="11"/>
      <c r="I41" s="14"/>
      <c r="J41" s="13" t="s">
        <v>8</v>
      </c>
      <c r="K41" s="10">
        <v>71</v>
      </c>
      <c r="L41" s="12">
        <v>59047.619047520013</v>
      </c>
      <c r="M41" s="10">
        <f t="shared" si="0"/>
        <v>-3</v>
      </c>
      <c r="N41" s="12">
        <f t="shared" si="0"/>
        <v>-33009.523809539984</v>
      </c>
      <c r="O41" s="11">
        <f t="shared" si="1"/>
        <v>-0.35857645354901901</v>
      </c>
      <c r="Q41" s="14"/>
      <c r="R41" s="13" t="s">
        <v>8</v>
      </c>
      <c r="T41" s="12"/>
      <c r="U41" s="10">
        <f t="shared" si="2"/>
        <v>-71</v>
      </c>
      <c r="V41" s="12">
        <f t="shared" si="3"/>
        <v>-59047.619047520013</v>
      </c>
      <c r="W41" s="11">
        <f t="shared" si="4"/>
        <v>-1</v>
      </c>
      <c r="Y41" s="14"/>
      <c r="Z41" s="13"/>
      <c r="AB41" s="12">
        <v>83323.809523720003</v>
      </c>
      <c r="AC41" s="10">
        <f t="shared" si="5"/>
        <v>0</v>
      </c>
      <c r="AD41" s="12">
        <f t="shared" si="5"/>
        <v>83323.809523720003</v>
      </c>
      <c r="AE41" s="11" t="e">
        <f t="shared" si="6"/>
        <v>#DIV/0!</v>
      </c>
      <c r="AG41" s="14"/>
      <c r="AH41" s="13" t="s">
        <v>8</v>
      </c>
      <c r="AI41" s="13"/>
      <c r="AJ41" s="45"/>
      <c r="AK41" s="10">
        <f t="shared" si="7"/>
        <v>0</v>
      </c>
      <c r="AL41" s="12">
        <f t="shared" si="7"/>
        <v>-83323.809523720003</v>
      </c>
      <c r="AM41" s="11">
        <f t="shared" si="8"/>
        <v>-1</v>
      </c>
      <c r="AO41" s="14"/>
      <c r="AP41" s="13" t="s">
        <v>8</v>
      </c>
      <c r="AR41" s="12"/>
      <c r="AS41" s="10">
        <f t="shared" si="9"/>
        <v>0</v>
      </c>
      <c r="AT41" s="12">
        <f t="shared" si="9"/>
        <v>0</v>
      </c>
      <c r="AU41" s="11" t="e">
        <f t="shared" si="10"/>
        <v>#DIV/0!</v>
      </c>
      <c r="AW41" s="14"/>
      <c r="AX41" s="13" t="s">
        <v>8</v>
      </c>
      <c r="AZ41" s="12"/>
      <c r="BA41" s="10">
        <f t="shared" si="11"/>
        <v>0</v>
      </c>
      <c r="BB41" s="12">
        <f t="shared" si="12"/>
        <v>0</v>
      </c>
      <c r="BC41" s="11" t="e">
        <f t="shared" si="13"/>
        <v>#DIV/0!</v>
      </c>
      <c r="BE41" s="14"/>
      <c r="BF41" s="13" t="s">
        <v>8</v>
      </c>
      <c r="BH41" s="12"/>
      <c r="BI41" s="10">
        <f t="shared" si="14"/>
        <v>0</v>
      </c>
      <c r="BJ41" s="12">
        <f t="shared" si="15"/>
        <v>0</v>
      </c>
      <c r="BK41" s="11" t="e">
        <f t="shared" si="16"/>
        <v>#DIV/0!</v>
      </c>
      <c r="BM41" s="14"/>
      <c r="BN41" s="13" t="s">
        <v>8</v>
      </c>
      <c r="BP41" s="12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/>
      <c r="BV41" s="13" t="s">
        <v>8</v>
      </c>
      <c r="BX41" s="12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/>
      <c r="CD41" s="13" t="s">
        <v>8</v>
      </c>
      <c r="CF41" s="12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/>
      <c r="CL41" s="13" t="s">
        <v>8</v>
      </c>
      <c r="CN41" s="12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/>
      <c r="CT41" s="13" t="s">
        <v>8</v>
      </c>
      <c r="CV41" s="12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0" customFormat="1" ht="20" customHeight="1">
      <c r="A42" s="14"/>
      <c r="B42" s="13" t="s">
        <v>7</v>
      </c>
      <c r="C42" s="10">
        <v>12</v>
      </c>
      <c r="D42" s="12">
        <v>72458.095238089998</v>
      </c>
      <c r="F42" s="12"/>
      <c r="G42" s="11"/>
      <c r="I42" s="14"/>
      <c r="J42" s="13" t="s">
        <v>7</v>
      </c>
      <c r="K42" s="10">
        <v>13</v>
      </c>
      <c r="L42" s="12">
        <v>92733.333333319999</v>
      </c>
      <c r="M42" s="10">
        <f t="shared" si="0"/>
        <v>1</v>
      </c>
      <c r="N42" s="12">
        <f t="shared" si="0"/>
        <v>20275.238095230001</v>
      </c>
      <c r="O42" s="11">
        <f t="shared" si="1"/>
        <v>0.27982019163776817</v>
      </c>
      <c r="Q42" s="14"/>
      <c r="R42" s="13" t="s">
        <v>7</v>
      </c>
      <c r="T42" s="12"/>
      <c r="U42" s="10">
        <f t="shared" si="2"/>
        <v>-13</v>
      </c>
      <c r="V42" s="12">
        <f t="shared" si="3"/>
        <v>-92733.333333319999</v>
      </c>
      <c r="W42" s="11">
        <f t="shared" si="4"/>
        <v>-1</v>
      </c>
      <c r="Y42" s="14"/>
      <c r="Z42" s="13"/>
      <c r="AB42" s="12">
        <v>100704.76190474999</v>
      </c>
      <c r="AC42" s="10">
        <f t="shared" si="5"/>
        <v>0</v>
      </c>
      <c r="AD42" s="12">
        <f t="shared" si="5"/>
        <v>100704.76190474999</v>
      </c>
      <c r="AE42" s="11" t="e">
        <f t="shared" si="6"/>
        <v>#DIV/0!</v>
      </c>
      <c r="AG42" s="14"/>
      <c r="AH42" s="13" t="s">
        <v>7</v>
      </c>
      <c r="AI42" s="13"/>
      <c r="AJ42" s="45"/>
      <c r="AK42" s="10">
        <f t="shared" si="7"/>
        <v>0</v>
      </c>
      <c r="AL42" s="12">
        <f t="shared" si="7"/>
        <v>-100704.76190474999</v>
      </c>
      <c r="AM42" s="11">
        <f t="shared" si="8"/>
        <v>-1</v>
      </c>
      <c r="AO42" s="14"/>
      <c r="AP42" s="13" t="s">
        <v>7</v>
      </c>
      <c r="AR42" s="12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13" t="s">
        <v>7</v>
      </c>
      <c r="AZ42" s="12"/>
      <c r="BA42" s="10">
        <f t="shared" si="11"/>
        <v>0</v>
      </c>
      <c r="BB42" s="12">
        <f t="shared" si="12"/>
        <v>0</v>
      </c>
      <c r="BC42" s="11" t="e">
        <f t="shared" si="13"/>
        <v>#DIV/0!</v>
      </c>
      <c r="BE42" s="14"/>
      <c r="BF42" s="13" t="s">
        <v>7</v>
      </c>
      <c r="BH42" s="12"/>
      <c r="BI42" s="10">
        <f t="shared" si="14"/>
        <v>0</v>
      </c>
      <c r="BJ42" s="12">
        <f t="shared" si="15"/>
        <v>0</v>
      </c>
      <c r="BK42" s="11" t="e">
        <f t="shared" si="16"/>
        <v>#DIV/0!</v>
      </c>
      <c r="BM42" s="14"/>
      <c r="BN42" s="13" t="s">
        <v>7</v>
      </c>
      <c r="BP42" s="12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13" t="s">
        <v>7</v>
      </c>
      <c r="BX42" s="12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13" t="s">
        <v>7</v>
      </c>
      <c r="CF42" s="12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13" t="s">
        <v>7</v>
      </c>
      <c r="CN42" s="12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13" t="s">
        <v>7</v>
      </c>
      <c r="CV42" s="12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6</v>
      </c>
      <c r="C43" s="10">
        <v>8</v>
      </c>
      <c r="D43" s="12">
        <v>103999.99999998001</v>
      </c>
      <c r="F43" s="12"/>
      <c r="G43" s="11"/>
      <c r="I43" s="14"/>
      <c r="J43" s="13" t="s">
        <v>6</v>
      </c>
      <c r="K43" s="10">
        <v>10</v>
      </c>
      <c r="L43" s="12">
        <v>116190.47619045002</v>
      </c>
      <c r="M43" s="10">
        <f t="shared" si="0"/>
        <v>2</v>
      </c>
      <c r="N43" s="12">
        <f t="shared" si="0"/>
        <v>12190.476190470014</v>
      </c>
      <c r="O43" s="11">
        <f t="shared" si="1"/>
        <v>0.11721611721608036</v>
      </c>
      <c r="Q43" s="14"/>
      <c r="R43" s="13" t="s">
        <v>6</v>
      </c>
      <c r="T43" s="12"/>
      <c r="U43" s="10">
        <f t="shared" si="2"/>
        <v>-10</v>
      </c>
      <c r="V43" s="12">
        <f t="shared" si="3"/>
        <v>-116190.47619045002</v>
      </c>
      <c r="W43" s="11">
        <f t="shared" si="4"/>
        <v>-1</v>
      </c>
      <c r="Y43" s="14"/>
      <c r="Z43" s="13"/>
      <c r="AB43" s="12">
        <v>129333.33333331</v>
      </c>
      <c r="AC43" s="10">
        <f t="shared" si="5"/>
        <v>0</v>
      </c>
      <c r="AD43" s="12">
        <f t="shared" si="5"/>
        <v>129333.33333331</v>
      </c>
      <c r="AE43" s="11" t="e">
        <f t="shared" si="6"/>
        <v>#DIV/0!</v>
      </c>
      <c r="AG43" s="14"/>
      <c r="AH43" s="13" t="s">
        <v>6</v>
      </c>
      <c r="AI43" s="13"/>
      <c r="AJ43" s="45"/>
      <c r="AK43" s="10">
        <f t="shared" si="7"/>
        <v>0</v>
      </c>
      <c r="AL43" s="12">
        <f t="shared" si="7"/>
        <v>-129333.33333331</v>
      </c>
      <c r="AM43" s="11">
        <f t="shared" si="8"/>
        <v>-1</v>
      </c>
      <c r="AO43" s="14"/>
      <c r="AP43" s="13" t="s">
        <v>6</v>
      </c>
      <c r="AR43" s="12"/>
      <c r="AS43" s="10">
        <f t="shared" si="9"/>
        <v>0</v>
      </c>
      <c r="AT43" s="12">
        <f t="shared" si="9"/>
        <v>0</v>
      </c>
      <c r="AU43" s="11" t="e">
        <f t="shared" si="10"/>
        <v>#DIV/0!</v>
      </c>
      <c r="AW43" s="14"/>
      <c r="AX43" s="13" t="s">
        <v>6</v>
      </c>
      <c r="AZ43" s="12"/>
      <c r="BA43" s="10">
        <f t="shared" si="11"/>
        <v>0</v>
      </c>
      <c r="BB43" s="12">
        <f t="shared" si="12"/>
        <v>0</v>
      </c>
      <c r="BC43" s="11" t="e">
        <f t="shared" si="13"/>
        <v>#DIV/0!</v>
      </c>
      <c r="BE43" s="14"/>
      <c r="BF43" s="13" t="s">
        <v>6</v>
      </c>
      <c r="BH43" s="12"/>
      <c r="BI43" s="10">
        <f t="shared" si="14"/>
        <v>0</v>
      </c>
      <c r="BJ43" s="12">
        <f t="shared" si="15"/>
        <v>0</v>
      </c>
      <c r="BK43" s="11" t="e">
        <f t="shared" si="16"/>
        <v>#DIV/0!</v>
      </c>
      <c r="BM43" s="14"/>
      <c r="BN43" s="13" t="s">
        <v>6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6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6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6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6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5</v>
      </c>
      <c r="C44" s="10">
        <v>4</v>
      </c>
      <c r="D44" s="12">
        <v>10880</v>
      </c>
      <c r="F44" s="12"/>
      <c r="G44" s="11"/>
      <c r="I44" s="14"/>
      <c r="J44" s="13" t="s">
        <v>5</v>
      </c>
      <c r="K44" s="10">
        <v>1</v>
      </c>
      <c r="L44" s="12">
        <v>2590</v>
      </c>
      <c r="M44" s="10">
        <f t="shared" si="0"/>
        <v>-3</v>
      </c>
      <c r="N44" s="12">
        <f t="shared" si="0"/>
        <v>-8290</v>
      </c>
      <c r="O44" s="11">
        <f t="shared" si="1"/>
        <v>-0.76194852941176472</v>
      </c>
      <c r="Q44" s="14"/>
      <c r="R44" s="13" t="s">
        <v>5</v>
      </c>
      <c r="T44" s="12"/>
      <c r="U44" s="10">
        <f t="shared" si="2"/>
        <v>-1</v>
      </c>
      <c r="V44" s="12">
        <f t="shared" si="3"/>
        <v>-2590</v>
      </c>
      <c r="W44" s="11">
        <f t="shared" si="4"/>
        <v>-1</v>
      </c>
      <c r="Y44" s="14"/>
      <c r="Z44" s="13"/>
      <c r="AB44" s="12">
        <v>12990</v>
      </c>
      <c r="AC44" s="10">
        <f t="shared" si="5"/>
        <v>0</v>
      </c>
      <c r="AD44" s="12">
        <f t="shared" si="5"/>
        <v>12990</v>
      </c>
      <c r="AE44" s="11" t="e">
        <f t="shared" si="6"/>
        <v>#DIV/0!</v>
      </c>
      <c r="AG44" s="14"/>
      <c r="AH44" s="13" t="s">
        <v>5</v>
      </c>
      <c r="AI44" s="13"/>
      <c r="AJ44" s="45"/>
      <c r="AK44" s="10">
        <f t="shared" si="7"/>
        <v>0</v>
      </c>
      <c r="AL44" s="12">
        <f t="shared" si="7"/>
        <v>-12990</v>
      </c>
      <c r="AM44" s="11">
        <f t="shared" si="8"/>
        <v>-1</v>
      </c>
      <c r="AO44" s="14"/>
      <c r="AP44" s="13" t="s">
        <v>5</v>
      </c>
      <c r="AR44" s="12"/>
      <c r="AS44" s="10">
        <f t="shared" si="9"/>
        <v>0</v>
      </c>
      <c r="AT44" s="12">
        <f t="shared" si="9"/>
        <v>0</v>
      </c>
      <c r="AU44" s="11" t="e">
        <f t="shared" si="10"/>
        <v>#DIV/0!</v>
      </c>
      <c r="AW44" s="14"/>
      <c r="AX44" s="13" t="s">
        <v>5</v>
      </c>
      <c r="AZ44" s="12"/>
      <c r="BA44" s="10">
        <f t="shared" si="11"/>
        <v>0</v>
      </c>
      <c r="BB44" s="12">
        <f t="shared" si="12"/>
        <v>0</v>
      </c>
      <c r="BC44" s="11" t="e">
        <f t="shared" si="13"/>
        <v>#DIV/0!</v>
      </c>
      <c r="BE44" s="14"/>
      <c r="BF44" s="13" t="s">
        <v>5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5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5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5</v>
      </c>
      <c r="CE44" s="50"/>
      <c r="CF44" s="50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5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5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4</v>
      </c>
      <c r="C45" s="10">
        <v>5</v>
      </c>
      <c r="D45" s="12">
        <v>173233.33333331998</v>
      </c>
      <c r="F45" s="12"/>
      <c r="G45" s="11"/>
      <c r="I45" s="14"/>
      <c r="J45" s="13" t="s">
        <v>4</v>
      </c>
      <c r="K45" s="10">
        <v>5</v>
      </c>
      <c r="L45" s="12">
        <v>159523.80952377999</v>
      </c>
      <c r="M45" s="10">
        <f t="shared" si="0"/>
        <v>0</v>
      </c>
      <c r="N45" s="12">
        <f t="shared" si="0"/>
        <v>-13709.523809539998</v>
      </c>
      <c r="O45" s="11">
        <f t="shared" si="1"/>
        <v>-7.9139063745667051E-2</v>
      </c>
      <c r="Q45" s="14"/>
      <c r="R45" s="13" t="s">
        <v>4</v>
      </c>
      <c r="T45" s="12"/>
      <c r="U45" s="10">
        <f t="shared" si="2"/>
        <v>-5</v>
      </c>
      <c r="V45" s="12">
        <f t="shared" si="3"/>
        <v>-159523.80952377999</v>
      </c>
      <c r="W45" s="11">
        <f t="shared" si="4"/>
        <v>-1</v>
      </c>
      <c r="Y45" s="14"/>
      <c r="Z45" s="13"/>
      <c r="AB45" s="12">
        <v>224006.66666664</v>
      </c>
      <c r="AC45" s="10">
        <f t="shared" si="5"/>
        <v>0</v>
      </c>
      <c r="AD45" s="12">
        <f t="shared" si="5"/>
        <v>224006.66666664</v>
      </c>
      <c r="AE45" s="11" t="e">
        <f t="shared" si="6"/>
        <v>#DIV/0!</v>
      </c>
      <c r="AG45" s="14"/>
      <c r="AH45" s="13" t="s">
        <v>4</v>
      </c>
      <c r="AI45" s="13"/>
      <c r="AJ45" s="45"/>
      <c r="AK45" s="10">
        <f t="shared" si="7"/>
        <v>0</v>
      </c>
      <c r="AL45" s="12">
        <f t="shared" si="7"/>
        <v>-224006.66666664</v>
      </c>
      <c r="AM45" s="11">
        <f t="shared" si="8"/>
        <v>-1</v>
      </c>
      <c r="AO45" s="14"/>
      <c r="AP45" s="13" t="s">
        <v>4</v>
      </c>
      <c r="AR45" s="12"/>
      <c r="AS45" s="10">
        <f t="shared" si="9"/>
        <v>0</v>
      </c>
      <c r="AT45" s="12">
        <f t="shared" si="9"/>
        <v>0</v>
      </c>
      <c r="AU45" s="11" t="e">
        <f t="shared" si="10"/>
        <v>#DIV/0!</v>
      </c>
      <c r="AW45" s="14"/>
      <c r="AX45" s="13" t="s">
        <v>4</v>
      </c>
      <c r="AZ45" s="12"/>
      <c r="BA45" s="10">
        <f t="shared" si="11"/>
        <v>0</v>
      </c>
      <c r="BB45" s="12">
        <f t="shared" si="12"/>
        <v>0</v>
      </c>
      <c r="BC45" s="11" t="e">
        <f t="shared" si="13"/>
        <v>#DIV/0!</v>
      </c>
      <c r="BE45" s="14"/>
      <c r="BF45" s="13" t="s">
        <v>4</v>
      </c>
      <c r="BH45" s="12"/>
      <c r="BI45" s="10">
        <f t="shared" si="14"/>
        <v>0</v>
      </c>
      <c r="BJ45" s="12">
        <f t="shared" si="15"/>
        <v>0</v>
      </c>
      <c r="BK45" s="11" t="e">
        <f t="shared" si="16"/>
        <v>#DIV/0!</v>
      </c>
      <c r="BM45" s="14"/>
      <c r="BN45" s="13" t="s">
        <v>4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4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4</v>
      </c>
      <c r="CE45" s="50"/>
      <c r="CF45" s="50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4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4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3</v>
      </c>
      <c r="C46" s="10">
        <v>12</v>
      </c>
      <c r="D46" s="12">
        <v>342666.66666660999</v>
      </c>
      <c r="F46" s="12"/>
      <c r="G46" s="11"/>
      <c r="I46" s="14"/>
      <c r="J46" s="13" t="s">
        <v>3</v>
      </c>
      <c r="K46" s="10">
        <v>10</v>
      </c>
      <c r="L46" s="12">
        <v>235238.09523804</v>
      </c>
      <c r="M46" s="10">
        <f t="shared" si="0"/>
        <v>-2</v>
      </c>
      <c r="N46" s="12">
        <f t="shared" si="0"/>
        <v>-107428.57142856999</v>
      </c>
      <c r="O46" s="11">
        <f t="shared" si="1"/>
        <v>-0.31350750416903045</v>
      </c>
      <c r="Q46" s="14"/>
      <c r="R46" s="13" t="s">
        <v>3</v>
      </c>
      <c r="T46" s="12"/>
      <c r="U46" s="10">
        <f t="shared" si="2"/>
        <v>-10</v>
      </c>
      <c r="V46" s="12">
        <f t="shared" si="3"/>
        <v>-235238.09523804</v>
      </c>
      <c r="W46" s="11">
        <f t="shared" si="4"/>
        <v>-1</v>
      </c>
      <c r="Y46" s="14"/>
      <c r="Z46" s="13"/>
      <c r="AB46" s="12">
        <v>330909.52380948002</v>
      </c>
      <c r="AC46" s="10">
        <f t="shared" si="5"/>
        <v>0</v>
      </c>
      <c r="AD46" s="12">
        <f t="shared" si="5"/>
        <v>330909.52380948002</v>
      </c>
      <c r="AE46" s="11" t="e">
        <f t="shared" si="6"/>
        <v>#DIV/0!</v>
      </c>
      <c r="AG46" s="14"/>
      <c r="AH46" s="13" t="s">
        <v>3</v>
      </c>
      <c r="AI46" s="13"/>
      <c r="AJ46" s="45"/>
      <c r="AK46" s="10">
        <f t="shared" si="7"/>
        <v>0</v>
      </c>
      <c r="AL46" s="12">
        <f t="shared" si="7"/>
        <v>-330909.52380948002</v>
      </c>
      <c r="AM46" s="11">
        <f t="shared" si="8"/>
        <v>-1</v>
      </c>
      <c r="AO46" s="14"/>
      <c r="AP46" s="13" t="s">
        <v>3</v>
      </c>
      <c r="AR46" s="12"/>
      <c r="AS46" s="10">
        <f t="shared" si="9"/>
        <v>0</v>
      </c>
      <c r="AT46" s="12">
        <f t="shared" si="9"/>
        <v>0</v>
      </c>
      <c r="AU46" s="11" t="e">
        <f t="shared" si="10"/>
        <v>#DIV/0!</v>
      </c>
      <c r="AW46" s="14"/>
      <c r="AX46" s="13" t="s">
        <v>3</v>
      </c>
      <c r="AZ46" s="12"/>
      <c r="BA46" s="10">
        <f t="shared" si="11"/>
        <v>0</v>
      </c>
      <c r="BB46" s="12">
        <f t="shared" si="12"/>
        <v>0</v>
      </c>
      <c r="BC46" s="11" t="e">
        <f t="shared" si="13"/>
        <v>#DIV/0!</v>
      </c>
      <c r="BE46" s="14"/>
      <c r="BF46" s="13" t="s">
        <v>3</v>
      </c>
      <c r="BH46" s="12"/>
      <c r="BI46" s="10">
        <f t="shared" si="14"/>
        <v>0</v>
      </c>
      <c r="BJ46" s="12">
        <f t="shared" si="15"/>
        <v>0</v>
      </c>
      <c r="BK46" s="11" t="e">
        <f t="shared" si="16"/>
        <v>#DIV/0!</v>
      </c>
      <c r="BM46" s="14"/>
      <c r="BN46" s="13" t="s">
        <v>3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3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3</v>
      </c>
      <c r="CE46" s="50"/>
      <c r="CF46" s="50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3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3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2</v>
      </c>
      <c r="C47" s="10">
        <v>26</v>
      </c>
      <c r="D47" s="12">
        <v>867047.61904758995</v>
      </c>
      <c r="F47" s="12"/>
      <c r="G47" s="11"/>
      <c r="I47" s="14"/>
      <c r="J47" s="13" t="s">
        <v>2</v>
      </c>
      <c r="K47" s="10">
        <v>12</v>
      </c>
      <c r="L47" s="12">
        <v>419809.52380949992</v>
      </c>
      <c r="M47" s="10">
        <f t="shared" si="0"/>
        <v>-14</v>
      </c>
      <c r="N47" s="12">
        <f t="shared" si="0"/>
        <v>-447238.09523809003</v>
      </c>
      <c r="O47" s="11">
        <f t="shared" si="1"/>
        <v>-0.51581722319860535</v>
      </c>
      <c r="Q47" s="14"/>
      <c r="R47" s="13" t="s">
        <v>2</v>
      </c>
      <c r="T47" s="12"/>
      <c r="U47" s="10">
        <f t="shared" si="2"/>
        <v>-12</v>
      </c>
      <c r="V47" s="12">
        <f t="shared" si="3"/>
        <v>-419809.52380949992</v>
      </c>
      <c r="W47" s="11">
        <f t="shared" si="4"/>
        <v>-1</v>
      </c>
      <c r="Y47" s="14"/>
      <c r="Z47" s="13"/>
      <c r="AB47" s="12">
        <v>396857.14285711991</v>
      </c>
      <c r="AC47" s="10">
        <f t="shared" si="5"/>
        <v>0</v>
      </c>
      <c r="AD47" s="12">
        <f t="shared" si="5"/>
        <v>396857.14285711991</v>
      </c>
      <c r="AE47" s="11" t="e">
        <f t="shared" si="6"/>
        <v>#DIV/0!</v>
      </c>
      <c r="AG47" s="14"/>
      <c r="AH47" s="13" t="s">
        <v>2</v>
      </c>
      <c r="AI47" s="13"/>
      <c r="AJ47" s="45"/>
      <c r="AK47" s="10">
        <f t="shared" si="7"/>
        <v>0</v>
      </c>
      <c r="AL47" s="12">
        <f t="shared" si="7"/>
        <v>-396857.14285711991</v>
      </c>
      <c r="AM47" s="11">
        <f t="shared" si="8"/>
        <v>-1</v>
      </c>
      <c r="AO47" s="14"/>
      <c r="AP47" s="13" t="s">
        <v>2</v>
      </c>
      <c r="AR47" s="12"/>
      <c r="AS47" s="10">
        <f t="shared" si="9"/>
        <v>0</v>
      </c>
      <c r="AT47" s="12">
        <f t="shared" si="9"/>
        <v>0</v>
      </c>
      <c r="AU47" s="11" t="e">
        <f t="shared" si="10"/>
        <v>#DIV/0!</v>
      </c>
      <c r="AW47" s="14"/>
      <c r="AX47" s="13" t="s">
        <v>2</v>
      </c>
      <c r="AZ47" s="12"/>
      <c r="BA47" s="10">
        <f t="shared" si="11"/>
        <v>0</v>
      </c>
      <c r="BB47" s="12">
        <f t="shared" si="12"/>
        <v>0</v>
      </c>
      <c r="BC47" s="11" t="e">
        <f t="shared" si="13"/>
        <v>#DIV/0!</v>
      </c>
      <c r="BE47" s="14"/>
      <c r="BF47" s="13" t="s">
        <v>2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2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2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2</v>
      </c>
      <c r="CE47" s="50"/>
      <c r="CF47" s="50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2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2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" customFormat="1" ht="20" customHeight="1">
      <c r="A48" s="9" t="s">
        <v>10</v>
      </c>
      <c r="B48" s="9"/>
      <c r="C48" s="8">
        <v>227</v>
      </c>
      <c r="D48" s="7">
        <v>1754078.0952374698</v>
      </c>
      <c r="E48" s="27"/>
      <c r="F48" s="28"/>
      <c r="G48" s="29"/>
      <c r="I48" s="9" t="s">
        <v>10</v>
      </c>
      <c r="J48" s="9"/>
      <c r="K48" s="8">
        <v>191</v>
      </c>
      <c r="L48" s="7">
        <v>1148108.0952374698</v>
      </c>
      <c r="M48" s="27">
        <f t="shared" si="0"/>
        <v>-36</v>
      </c>
      <c r="N48" s="28">
        <f t="shared" si="0"/>
        <v>-605970</v>
      </c>
      <c r="O48" s="29">
        <f t="shared" si="1"/>
        <v>-0.34546352391337676</v>
      </c>
      <c r="Q48" s="9" t="s">
        <v>10</v>
      </c>
      <c r="R48" s="9"/>
      <c r="S48" s="8"/>
      <c r="T48" s="7"/>
      <c r="U48" s="27">
        <f t="shared" si="2"/>
        <v>-191</v>
      </c>
      <c r="V48" s="28">
        <f t="shared" si="3"/>
        <v>-1148108.0952374698</v>
      </c>
      <c r="W48" s="29">
        <f t="shared" si="4"/>
        <v>-1</v>
      </c>
      <c r="Y48" s="9" t="s">
        <v>10</v>
      </c>
      <c r="Z48" s="9"/>
      <c r="AA48" s="8"/>
      <c r="AB48" s="7">
        <v>1345952.8571423099</v>
      </c>
      <c r="AC48" s="27">
        <f t="shared" si="5"/>
        <v>0</v>
      </c>
      <c r="AD48" s="28">
        <f t="shared" si="5"/>
        <v>1345952.8571423099</v>
      </c>
      <c r="AE48" s="29" t="e">
        <f t="shared" si="6"/>
        <v>#DIV/0!</v>
      </c>
      <c r="AG48" s="9" t="s">
        <v>10</v>
      </c>
      <c r="AH48" s="9"/>
      <c r="AI48" s="9"/>
      <c r="AJ48" s="46"/>
      <c r="AK48" s="27">
        <f t="shared" si="7"/>
        <v>0</v>
      </c>
      <c r="AL48" s="28">
        <f t="shared" si="7"/>
        <v>-1345952.8571423099</v>
      </c>
      <c r="AM48" s="29">
        <f t="shared" si="8"/>
        <v>-1</v>
      </c>
      <c r="AO48" s="9" t="s">
        <v>10</v>
      </c>
      <c r="AP48" s="9"/>
      <c r="AQ48" s="8"/>
      <c r="AR48" s="7"/>
      <c r="AS48" s="27">
        <f t="shared" si="9"/>
        <v>0</v>
      </c>
      <c r="AT48" s="28">
        <f t="shared" si="9"/>
        <v>0</v>
      </c>
      <c r="AU48" s="29" t="e">
        <f t="shared" si="10"/>
        <v>#DIV/0!</v>
      </c>
      <c r="AW48" s="9" t="s">
        <v>10</v>
      </c>
      <c r="AX48" s="9"/>
      <c r="AY48" s="8"/>
      <c r="AZ48" s="7"/>
      <c r="BA48" s="27">
        <f t="shared" si="11"/>
        <v>0</v>
      </c>
      <c r="BB48" s="28">
        <f t="shared" si="12"/>
        <v>0</v>
      </c>
      <c r="BC48" s="29" t="e">
        <f t="shared" si="13"/>
        <v>#DIV/0!</v>
      </c>
      <c r="BE48" s="9" t="s">
        <v>10</v>
      </c>
      <c r="BF48" s="9"/>
      <c r="BG48" s="8"/>
      <c r="BH48" s="7"/>
      <c r="BI48" s="27">
        <f t="shared" si="14"/>
        <v>0</v>
      </c>
      <c r="BJ48" s="28">
        <f t="shared" si="15"/>
        <v>0</v>
      </c>
      <c r="BK48" s="29" t="e">
        <f t="shared" si="16"/>
        <v>#DIV/0!</v>
      </c>
      <c r="BM48" s="9" t="s">
        <v>10</v>
      </c>
      <c r="BN48" s="9"/>
      <c r="BO48" s="8"/>
      <c r="BP48" s="7"/>
      <c r="BQ48" s="27">
        <f t="shared" si="17"/>
        <v>0</v>
      </c>
      <c r="BR48" s="28">
        <f t="shared" si="18"/>
        <v>0</v>
      </c>
      <c r="BS48" s="29" t="e">
        <f t="shared" si="19"/>
        <v>#DIV/0!</v>
      </c>
      <c r="BU48" s="9" t="s">
        <v>10</v>
      </c>
      <c r="BV48" s="9"/>
      <c r="BW48" s="8"/>
      <c r="BX48" s="7"/>
      <c r="BY48" s="27">
        <f t="shared" si="32"/>
        <v>0</v>
      </c>
      <c r="BZ48" s="28">
        <f t="shared" si="21"/>
        <v>0</v>
      </c>
      <c r="CA48" s="29" t="e">
        <f t="shared" si="22"/>
        <v>#DIV/0!</v>
      </c>
      <c r="CC48" s="9" t="s">
        <v>10</v>
      </c>
      <c r="CD48" s="9"/>
      <c r="CE48" s="51"/>
      <c r="CF48" s="51"/>
      <c r="CG48" s="27">
        <f t="shared" si="23"/>
        <v>0</v>
      </c>
      <c r="CH48" s="28">
        <f t="shared" si="24"/>
        <v>0</v>
      </c>
      <c r="CI48" s="29" t="e">
        <f t="shared" si="25"/>
        <v>#DIV/0!</v>
      </c>
      <c r="CK48" s="9" t="s">
        <v>10</v>
      </c>
      <c r="CL48" s="9"/>
      <c r="CM48" s="8"/>
      <c r="CN48" s="7"/>
      <c r="CO48" s="27">
        <f t="shared" si="26"/>
        <v>0</v>
      </c>
      <c r="CP48" s="28">
        <f t="shared" si="27"/>
        <v>0</v>
      </c>
      <c r="CQ48" s="29" t="e">
        <f t="shared" si="28"/>
        <v>#DIV/0!</v>
      </c>
      <c r="CS48" s="9" t="s">
        <v>10</v>
      </c>
      <c r="CT48" s="9"/>
      <c r="CU48" s="8"/>
      <c r="CV48" s="7"/>
      <c r="CW48" s="27">
        <f t="shared" si="29"/>
        <v>0</v>
      </c>
      <c r="CX48" s="28">
        <f t="shared" si="30"/>
        <v>0</v>
      </c>
      <c r="CY48" s="29" t="e">
        <f t="shared" si="31"/>
        <v>#DIV/0!</v>
      </c>
    </row>
    <row r="49" spans="1:103" s="1" customFormat="1" ht="20" customHeight="1">
      <c r="A49" s="14">
        <v>84</v>
      </c>
      <c r="B49" s="32" t="s">
        <v>19</v>
      </c>
      <c r="D49" s="35"/>
      <c r="E49" s="10"/>
      <c r="F49" s="12"/>
      <c r="G49" s="36"/>
      <c r="I49" s="14">
        <v>84</v>
      </c>
      <c r="J49" s="32" t="s">
        <v>19</v>
      </c>
      <c r="L49" s="35"/>
      <c r="M49" s="10">
        <f t="shared" si="0"/>
        <v>0</v>
      </c>
      <c r="N49" s="12">
        <f t="shared" si="0"/>
        <v>0</v>
      </c>
      <c r="O49" s="11" t="e">
        <f t="shared" si="1"/>
        <v>#DIV/0!</v>
      </c>
      <c r="Q49" s="14">
        <v>84</v>
      </c>
      <c r="R49" s="32" t="s">
        <v>19</v>
      </c>
      <c r="T49" s="35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>
        <v>84</v>
      </c>
      <c r="Z49" s="32"/>
      <c r="AB49" s="35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>
        <v>84</v>
      </c>
      <c r="AH49" s="32" t="s">
        <v>19</v>
      </c>
      <c r="AI49" s="32"/>
      <c r="AJ49" s="47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>
        <v>84</v>
      </c>
      <c r="AP49" s="32" t="s">
        <v>19</v>
      </c>
      <c r="AR49" s="35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>
        <v>84</v>
      </c>
      <c r="AX49" s="32" t="s">
        <v>19</v>
      </c>
      <c r="AZ49" s="35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>
        <v>84</v>
      </c>
      <c r="BF49" s="32" t="s">
        <v>19</v>
      </c>
      <c r="BH49" s="35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>
        <v>84</v>
      </c>
      <c r="BN49" s="32" t="s">
        <v>19</v>
      </c>
      <c r="BP49" s="35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>
        <v>84</v>
      </c>
      <c r="BV49" s="32" t="s">
        <v>19</v>
      </c>
      <c r="BW49" s="15"/>
      <c r="BX49" s="33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>
        <v>84</v>
      </c>
      <c r="CD49" s="32" t="s">
        <v>19</v>
      </c>
      <c r="CE49" s="15"/>
      <c r="CF49" s="33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>
        <v>84</v>
      </c>
      <c r="CL49" s="32" t="s">
        <v>19</v>
      </c>
      <c r="CM49" s="15"/>
      <c r="CN49" s="33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>
        <v>84</v>
      </c>
      <c r="CT49" s="32" t="s">
        <v>19</v>
      </c>
      <c r="CU49" s="15"/>
      <c r="CV49" s="33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" customFormat="1" ht="20" customHeight="1">
      <c r="A50" s="14"/>
      <c r="B50" s="32" t="s">
        <v>20</v>
      </c>
      <c r="C50" s="1">
        <v>2</v>
      </c>
      <c r="D50" s="35"/>
      <c r="E50" s="10"/>
      <c r="F50" s="12"/>
      <c r="G50" s="36"/>
      <c r="I50" s="14"/>
      <c r="J50" s="32" t="s">
        <v>20</v>
      </c>
      <c r="L50" s="35"/>
      <c r="M50" s="10">
        <f t="shared" si="0"/>
        <v>-2</v>
      </c>
      <c r="N50" s="12">
        <f t="shared" si="0"/>
        <v>0</v>
      </c>
      <c r="O50" s="11" t="e">
        <f t="shared" si="1"/>
        <v>#DIV/0!</v>
      </c>
      <c r="Q50" s="14"/>
      <c r="R50" s="32" t="s">
        <v>20</v>
      </c>
      <c r="T50" s="35"/>
      <c r="U50" s="10">
        <f t="shared" si="2"/>
        <v>0</v>
      </c>
      <c r="V50" s="12">
        <f t="shared" si="3"/>
        <v>0</v>
      </c>
      <c r="W50" s="11" t="e">
        <f t="shared" si="4"/>
        <v>#DIV/0!</v>
      </c>
      <c r="Y50" s="14"/>
      <c r="Z50" s="32"/>
      <c r="AB50" s="35"/>
      <c r="AC50" s="10">
        <f t="shared" si="5"/>
        <v>0</v>
      </c>
      <c r="AD50" s="12">
        <f t="shared" si="5"/>
        <v>0</v>
      </c>
      <c r="AE50" s="11" t="e">
        <f t="shared" si="6"/>
        <v>#DIV/0!</v>
      </c>
      <c r="AG50" s="14"/>
      <c r="AH50" s="32" t="s">
        <v>20</v>
      </c>
      <c r="AI50" s="32"/>
      <c r="AJ50" s="47"/>
      <c r="AK50" s="10">
        <f t="shared" si="7"/>
        <v>0</v>
      </c>
      <c r="AL50" s="12">
        <f t="shared" si="7"/>
        <v>0</v>
      </c>
      <c r="AM50" s="11" t="e">
        <f t="shared" si="8"/>
        <v>#DIV/0!</v>
      </c>
      <c r="AO50" s="14"/>
      <c r="AP50" s="32" t="s">
        <v>20</v>
      </c>
      <c r="AR50" s="35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32" t="s">
        <v>20</v>
      </c>
      <c r="AZ50" s="35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32" t="s">
        <v>20</v>
      </c>
      <c r="BH50" s="35"/>
      <c r="BI50" s="10">
        <f t="shared" si="14"/>
        <v>0</v>
      </c>
      <c r="BJ50" s="12">
        <f t="shared" si="15"/>
        <v>0</v>
      </c>
      <c r="BK50" s="11" t="e">
        <f t="shared" si="16"/>
        <v>#DIV/0!</v>
      </c>
      <c r="BM50" s="14"/>
      <c r="BN50" s="32" t="s">
        <v>20</v>
      </c>
      <c r="BP50" s="35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32" t="s">
        <v>20</v>
      </c>
      <c r="BW50" s="15"/>
      <c r="BX50" s="33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32" t="s">
        <v>20</v>
      </c>
      <c r="CE50" s="15"/>
      <c r="CF50" s="33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32" t="s">
        <v>20</v>
      </c>
      <c r="CM50" s="15"/>
      <c r="CN50" s="33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32" t="s">
        <v>20</v>
      </c>
      <c r="CU50" s="15"/>
      <c r="CV50" s="33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9</v>
      </c>
      <c r="C51" s="10">
        <v>108</v>
      </c>
      <c r="D51" s="12">
        <v>114496.19047567996</v>
      </c>
      <c r="F51" s="12"/>
      <c r="G51" s="11"/>
      <c r="I51" s="14"/>
      <c r="J51" s="13" t="s">
        <v>9</v>
      </c>
      <c r="K51" s="10">
        <v>124</v>
      </c>
      <c r="L51" s="12">
        <v>124930.47618994996</v>
      </c>
      <c r="M51" s="10">
        <f t="shared" si="0"/>
        <v>16</v>
      </c>
      <c r="N51" s="12">
        <f t="shared" si="0"/>
        <v>10434.285714269994</v>
      </c>
      <c r="O51" s="11">
        <f t="shared" si="1"/>
        <v>9.1132164929857054E-2</v>
      </c>
      <c r="Q51" s="14"/>
      <c r="R51" s="13" t="s">
        <v>9</v>
      </c>
      <c r="T51" s="12"/>
      <c r="U51" s="10">
        <f t="shared" si="2"/>
        <v>-124</v>
      </c>
      <c r="V51" s="12">
        <f t="shared" si="3"/>
        <v>-124930.47618994996</v>
      </c>
      <c r="W51" s="11">
        <f t="shared" si="4"/>
        <v>-1</v>
      </c>
      <c r="Y51" s="14"/>
      <c r="Z51" s="13"/>
      <c r="AB51" s="12">
        <v>73125.714285359994</v>
      </c>
      <c r="AC51" s="10">
        <f t="shared" si="5"/>
        <v>0</v>
      </c>
      <c r="AD51" s="12">
        <f t="shared" si="5"/>
        <v>73125.714285359994</v>
      </c>
      <c r="AE51" s="11" t="e">
        <f t="shared" si="6"/>
        <v>#DIV/0!</v>
      </c>
      <c r="AG51" s="14"/>
      <c r="AH51" s="13" t="s">
        <v>9</v>
      </c>
      <c r="AI51" s="13"/>
      <c r="AJ51" s="45"/>
      <c r="AK51" s="10">
        <f t="shared" si="7"/>
        <v>0</v>
      </c>
      <c r="AL51" s="12">
        <f t="shared" si="7"/>
        <v>-73125.714285359994</v>
      </c>
      <c r="AM51" s="11">
        <f t="shared" si="8"/>
        <v>-1</v>
      </c>
      <c r="AO51" s="14"/>
      <c r="AP51" s="13" t="s">
        <v>9</v>
      </c>
      <c r="AR51" s="12"/>
      <c r="AS51" s="10">
        <f t="shared" si="9"/>
        <v>0</v>
      </c>
      <c r="AT51" s="12">
        <f t="shared" si="9"/>
        <v>0</v>
      </c>
      <c r="AU51" s="11" t="e">
        <f t="shared" si="10"/>
        <v>#DIV/0!</v>
      </c>
      <c r="AW51" s="14"/>
      <c r="AX51" s="13" t="s">
        <v>9</v>
      </c>
      <c r="AZ51" s="12"/>
      <c r="BA51" s="10">
        <f t="shared" si="11"/>
        <v>0</v>
      </c>
      <c r="BB51" s="12">
        <f t="shared" si="12"/>
        <v>0</v>
      </c>
      <c r="BC51" s="11" t="e">
        <f t="shared" si="13"/>
        <v>#DIV/0!</v>
      </c>
      <c r="BE51" s="14"/>
      <c r="BF51" s="13" t="s">
        <v>9</v>
      </c>
      <c r="BH51" s="12"/>
      <c r="BI51" s="10">
        <f t="shared" si="14"/>
        <v>0</v>
      </c>
      <c r="BJ51" s="12">
        <f t="shared" si="15"/>
        <v>0</v>
      </c>
      <c r="BK51" s="11" t="e">
        <f t="shared" si="16"/>
        <v>#DIV/0!</v>
      </c>
      <c r="BM51" s="14"/>
      <c r="BN51" s="13" t="s">
        <v>9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9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9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9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9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0" customFormat="1" ht="20" customHeight="1">
      <c r="A52" s="14"/>
      <c r="B52" s="13" t="s">
        <v>8</v>
      </c>
      <c r="C52" s="10">
        <v>53</v>
      </c>
      <c r="D52" s="12">
        <v>68638.095238030015</v>
      </c>
      <c r="F52" s="12"/>
      <c r="G52" s="11"/>
      <c r="I52" s="14"/>
      <c r="J52" s="13" t="s">
        <v>8</v>
      </c>
      <c r="K52" s="10">
        <v>60</v>
      </c>
      <c r="L52" s="12">
        <v>62190.476190410016</v>
      </c>
      <c r="M52" s="10">
        <f t="shared" si="0"/>
        <v>7</v>
      </c>
      <c r="N52" s="12">
        <f t="shared" si="0"/>
        <v>-6447.619047619999</v>
      </c>
      <c r="O52" s="11">
        <f t="shared" si="1"/>
        <v>-9.3936450673059974E-2</v>
      </c>
      <c r="Q52" s="14"/>
      <c r="R52" s="13" t="s">
        <v>8</v>
      </c>
      <c r="T52" s="12"/>
      <c r="U52" s="10">
        <f t="shared" si="2"/>
        <v>-60</v>
      </c>
      <c r="V52" s="12">
        <f t="shared" si="3"/>
        <v>-62190.476190410016</v>
      </c>
      <c r="W52" s="11">
        <f t="shared" si="4"/>
        <v>-1</v>
      </c>
      <c r="Y52" s="14"/>
      <c r="Z52" s="13"/>
      <c r="AB52" s="12">
        <v>79457.142857069994</v>
      </c>
      <c r="AC52" s="10">
        <f t="shared" si="5"/>
        <v>0</v>
      </c>
      <c r="AD52" s="12">
        <f t="shared" si="5"/>
        <v>79457.142857069994</v>
      </c>
      <c r="AE52" s="11" t="e">
        <f t="shared" si="6"/>
        <v>#DIV/0!</v>
      </c>
      <c r="AG52" s="14"/>
      <c r="AH52" s="13" t="s">
        <v>8</v>
      </c>
      <c r="AI52" s="13"/>
      <c r="AJ52" s="45"/>
      <c r="AK52" s="10">
        <f t="shared" si="7"/>
        <v>0</v>
      </c>
      <c r="AL52" s="12">
        <f t="shared" si="7"/>
        <v>-79457.142857069994</v>
      </c>
      <c r="AM52" s="11">
        <f t="shared" si="8"/>
        <v>-1</v>
      </c>
      <c r="AO52" s="14"/>
      <c r="AP52" s="13" t="s">
        <v>8</v>
      </c>
      <c r="AR52" s="12"/>
      <c r="AS52" s="10">
        <f t="shared" si="9"/>
        <v>0</v>
      </c>
      <c r="AT52" s="12">
        <f t="shared" si="9"/>
        <v>0</v>
      </c>
      <c r="AU52" s="11" t="e">
        <f t="shared" si="10"/>
        <v>#DIV/0!</v>
      </c>
      <c r="AW52" s="14"/>
      <c r="AX52" s="13" t="s">
        <v>8</v>
      </c>
      <c r="AZ52" s="12"/>
      <c r="BA52" s="10">
        <f t="shared" si="11"/>
        <v>0</v>
      </c>
      <c r="BB52" s="12">
        <f t="shared" si="12"/>
        <v>0</v>
      </c>
      <c r="BC52" s="11" t="e">
        <f t="shared" si="13"/>
        <v>#DIV/0!</v>
      </c>
      <c r="BE52" s="14"/>
      <c r="BF52" s="13" t="s">
        <v>8</v>
      </c>
      <c r="BH52" s="12"/>
      <c r="BI52" s="10">
        <f t="shared" si="14"/>
        <v>0</v>
      </c>
      <c r="BJ52" s="12">
        <f t="shared" si="15"/>
        <v>0</v>
      </c>
      <c r="BK52" s="11" t="e">
        <f t="shared" si="16"/>
        <v>#DIV/0!</v>
      </c>
      <c r="BM52" s="14"/>
      <c r="BN52" s="13" t="s">
        <v>8</v>
      </c>
      <c r="BP52" s="12"/>
      <c r="BQ52" s="10">
        <f t="shared" si="17"/>
        <v>0</v>
      </c>
      <c r="BR52" s="12">
        <f t="shared" si="18"/>
        <v>0</v>
      </c>
      <c r="BS52" s="11" t="e">
        <f t="shared" si="19"/>
        <v>#DIV/0!</v>
      </c>
      <c r="BU52" s="14"/>
      <c r="BV52" s="13" t="s">
        <v>8</v>
      </c>
      <c r="BX52" s="12"/>
      <c r="BY52" s="10">
        <f t="shared" si="32"/>
        <v>0</v>
      </c>
      <c r="BZ52" s="12">
        <f t="shared" si="21"/>
        <v>0</v>
      </c>
      <c r="CA52" s="11" t="e">
        <f t="shared" si="22"/>
        <v>#DIV/0!</v>
      </c>
      <c r="CC52" s="14"/>
      <c r="CD52" s="13" t="s">
        <v>8</v>
      </c>
      <c r="CF52" s="12"/>
      <c r="CG52" s="10">
        <f t="shared" si="23"/>
        <v>0</v>
      </c>
      <c r="CH52" s="12">
        <f t="shared" si="24"/>
        <v>0</v>
      </c>
      <c r="CI52" s="11" t="e">
        <f t="shared" si="25"/>
        <v>#DIV/0!</v>
      </c>
      <c r="CK52" s="14"/>
      <c r="CL52" s="13" t="s">
        <v>8</v>
      </c>
      <c r="CN52" s="12"/>
      <c r="CO52" s="10">
        <f t="shared" si="26"/>
        <v>0</v>
      </c>
      <c r="CP52" s="12">
        <f t="shared" si="27"/>
        <v>0</v>
      </c>
      <c r="CQ52" s="11" t="e">
        <f t="shared" si="28"/>
        <v>#DIV/0!</v>
      </c>
      <c r="CS52" s="14"/>
      <c r="CT52" s="13" t="s">
        <v>8</v>
      </c>
      <c r="CV52" s="12"/>
      <c r="CW52" s="10">
        <f t="shared" si="29"/>
        <v>0</v>
      </c>
      <c r="CX52" s="12">
        <f t="shared" si="30"/>
        <v>0</v>
      </c>
      <c r="CY52" s="11" t="e">
        <f t="shared" si="31"/>
        <v>#DIV/0!</v>
      </c>
    </row>
    <row r="53" spans="1:103" s="10" customFormat="1" ht="20" customHeight="1">
      <c r="A53" s="14"/>
      <c r="B53" s="13" t="s">
        <v>7</v>
      </c>
      <c r="C53" s="10">
        <v>13</v>
      </c>
      <c r="D53" s="12">
        <v>77019.047619040008</v>
      </c>
      <c r="F53" s="12"/>
      <c r="G53" s="11"/>
      <c r="I53" s="14"/>
      <c r="J53" s="13" t="s">
        <v>7</v>
      </c>
      <c r="K53" s="10">
        <v>11</v>
      </c>
      <c r="L53" s="12">
        <v>72752.380952370004</v>
      </c>
      <c r="M53" s="10">
        <f t="shared" si="0"/>
        <v>-2</v>
      </c>
      <c r="N53" s="12">
        <f t="shared" si="0"/>
        <v>-4266.6666666700039</v>
      </c>
      <c r="O53" s="11">
        <f t="shared" si="1"/>
        <v>-5.5397551626115329E-2</v>
      </c>
      <c r="Q53" s="14"/>
      <c r="R53" s="13" t="s">
        <v>7</v>
      </c>
      <c r="T53" s="12"/>
      <c r="U53" s="10">
        <f t="shared" si="2"/>
        <v>-11</v>
      </c>
      <c r="V53" s="12">
        <f t="shared" si="3"/>
        <v>-72752.380952370004</v>
      </c>
      <c r="W53" s="11">
        <f t="shared" si="4"/>
        <v>-1</v>
      </c>
      <c r="Y53" s="14"/>
      <c r="Z53" s="13"/>
      <c r="AB53" s="12">
        <v>86152.380952370004</v>
      </c>
      <c r="AC53" s="10">
        <f t="shared" si="5"/>
        <v>0</v>
      </c>
      <c r="AD53" s="12">
        <f t="shared" si="5"/>
        <v>86152.380952370004</v>
      </c>
      <c r="AE53" s="11" t="e">
        <f t="shared" si="6"/>
        <v>#DIV/0!</v>
      </c>
      <c r="AG53" s="14"/>
      <c r="AH53" s="13" t="s">
        <v>7</v>
      </c>
      <c r="AI53" s="13"/>
      <c r="AJ53" s="45"/>
      <c r="AK53" s="10">
        <f t="shared" si="7"/>
        <v>0</v>
      </c>
      <c r="AL53" s="12">
        <f t="shared" si="7"/>
        <v>-86152.380952370004</v>
      </c>
      <c r="AM53" s="11">
        <f t="shared" si="8"/>
        <v>-1</v>
      </c>
      <c r="AO53" s="14"/>
      <c r="AP53" s="13" t="s">
        <v>7</v>
      </c>
      <c r="AR53" s="12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/>
      <c r="AX53" s="13" t="s">
        <v>7</v>
      </c>
      <c r="AZ53" s="12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/>
      <c r="BF53" s="13" t="s">
        <v>7</v>
      </c>
      <c r="BH53" s="12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/>
      <c r="BN53" s="13" t="s">
        <v>7</v>
      </c>
      <c r="BP53" s="12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/>
      <c r="BV53" s="13" t="s">
        <v>7</v>
      </c>
      <c r="BX53" s="12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/>
      <c r="CD53" s="13" t="s">
        <v>7</v>
      </c>
      <c r="CF53" s="12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/>
      <c r="CL53" s="13" t="s">
        <v>7</v>
      </c>
      <c r="CN53" s="12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/>
      <c r="CT53" s="13" t="s">
        <v>7</v>
      </c>
      <c r="CV53" s="12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0" customFormat="1" ht="20" customHeight="1">
      <c r="A54" s="14"/>
      <c r="B54" s="13" t="s">
        <v>6</v>
      </c>
      <c r="C54" s="10">
        <v>14</v>
      </c>
      <c r="D54" s="12">
        <v>154857.14285710998</v>
      </c>
      <c r="F54" s="12"/>
      <c r="G54" s="11"/>
      <c r="I54" s="14"/>
      <c r="J54" s="13" t="s">
        <v>6</v>
      </c>
      <c r="K54" s="10">
        <v>7</v>
      </c>
      <c r="L54" s="12">
        <v>89809.52380950001</v>
      </c>
      <c r="M54" s="10">
        <f t="shared" si="0"/>
        <v>-7</v>
      </c>
      <c r="N54" s="12">
        <f t="shared" si="0"/>
        <v>-65047.619047609973</v>
      </c>
      <c r="O54" s="11">
        <f t="shared" si="1"/>
        <v>-0.42004920049203548</v>
      </c>
      <c r="Q54" s="14"/>
      <c r="R54" s="13" t="s">
        <v>6</v>
      </c>
      <c r="T54" s="12"/>
      <c r="U54" s="10">
        <f t="shared" si="2"/>
        <v>-7</v>
      </c>
      <c r="V54" s="12">
        <f t="shared" si="3"/>
        <v>-89809.52380950001</v>
      </c>
      <c r="W54" s="11">
        <f t="shared" si="4"/>
        <v>-1</v>
      </c>
      <c r="Y54" s="14"/>
      <c r="Z54" s="13"/>
      <c r="AB54" s="12">
        <v>118285.71428567999</v>
      </c>
      <c r="AC54" s="10">
        <f t="shared" si="5"/>
        <v>0</v>
      </c>
      <c r="AD54" s="12">
        <f t="shared" si="5"/>
        <v>118285.71428567999</v>
      </c>
      <c r="AE54" s="11" t="e">
        <f t="shared" si="6"/>
        <v>#DIV/0!</v>
      </c>
      <c r="AG54" s="14"/>
      <c r="AH54" s="13" t="s">
        <v>6</v>
      </c>
      <c r="AI54" s="13"/>
      <c r="AJ54" s="45"/>
      <c r="AK54" s="10">
        <f t="shared" si="7"/>
        <v>0</v>
      </c>
      <c r="AL54" s="12">
        <f t="shared" si="7"/>
        <v>-118285.71428567999</v>
      </c>
      <c r="AM54" s="11">
        <f t="shared" si="8"/>
        <v>-1</v>
      </c>
      <c r="AO54" s="14"/>
      <c r="AP54" s="13" t="s">
        <v>6</v>
      </c>
      <c r="AR54" s="12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13" t="s">
        <v>6</v>
      </c>
      <c r="AZ54" s="12"/>
      <c r="BA54" s="10">
        <f t="shared" si="11"/>
        <v>0</v>
      </c>
      <c r="BB54" s="12">
        <f t="shared" si="12"/>
        <v>0</v>
      </c>
      <c r="BC54" s="11" t="e">
        <f t="shared" si="13"/>
        <v>#DIV/0!</v>
      </c>
      <c r="BE54" s="14"/>
      <c r="BF54" s="13" t="s">
        <v>6</v>
      </c>
      <c r="BH54" s="12"/>
      <c r="BI54" s="10">
        <f t="shared" si="14"/>
        <v>0</v>
      </c>
      <c r="BJ54" s="12">
        <f t="shared" si="15"/>
        <v>0</v>
      </c>
      <c r="BK54" s="11" t="e">
        <f t="shared" si="16"/>
        <v>#DIV/0!</v>
      </c>
      <c r="BM54" s="14"/>
      <c r="BN54" s="13" t="s">
        <v>6</v>
      </c>
      <c r="BP54" s="12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13" t="s">
        <v>6</v>
      </c>
      <c r="BX54" s="12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13" t="s">
        <v>6</v>
      </c>
      <c r="CF54" s="12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13" t="s">
        <v>6</v>
      </c>
      <c r="CN54" s="12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13" t="s">
        <v>6</v>
      </c>
      <c r="CV54" s="12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5</v>
      </c>
      <c r="C55" s="10">
        <v>7</v>
      </c>
      <c r="D55" s="12">
        <v>17130</v>
      </c>
      <c r="F55" s="12"/>
      <c r="G55" s="11"/>
      <c r="I55" s="14"/>
      <c r="J55" s="13" t="s">
        <v>5</v>
      </c>
      <c r="K55" s="10">
        <v>6</v>
      </c>
      <c r="L55" s="12">
        <v>25140</v>
      </c>
      <c r="M55" s="10">
        <f t="shared" si="0"/>
        <v>-1</v>
      </c>
      <c r="N55" s="12">
        <f t="shared" si="0"/>
        <v>8010</v>
      </c>
      <c r="O55" s="11">
        <f t="shared" si="1"/>
        <v>0.46760070052539404</v>
      </c>
      <c r="Q55" s="14"/>
      <c r="R55" s="13" t="s">
        <v>5</v>
      </c>
      <c r="T55" s="12"/>
      <c r="U55" s="10">
        <f t="shared" si="2"/>
        <v>-6</v>
      </c>
      <c r="V55" s="12">
        <f t="shared" si="3"/>
        <v>-25140</v>
      </c>
      <c r="W55" s="11">
        <f t="shared" si="4"/>
        <v>-1</v>
      </c>
      <c r="Y55" s="14"/>
      <c r="Z55" s="13"/>
      <c r="AB55" s="12">
        <v>5880</v>
      </c>
      <c r="AC55" s="10">
        <f t="shared" si="5"/>
        <v>0</v>
      </c>
      <c r="AD55" s="12">
        <f t="shared" si="5"/>
        <v>5880</v>
      </c>
      <c r="AE55" s="11" t="e">
        <f t="shared" si="6"/>
        <v>#DIV/0!</v>
      </c>
      <c r="AG55" s="14"/>
      <c r="AH55" s="13" t="s">
        <v>5</v>
      </c>
      <c r="AI55" s="13"/>
      <c r="AJ55" s="45"/>
      <c r="AK55" s="10">
        <f t="shared" si="7"/>
        <v>0</v>
      </c>
      <c r="AL55" s="12">
        <f t="shared" si="7"/>
        <v>-5880</v>
      </c>
      <c r="AM55" s="11">
        <f t="shared" si="8"/>
        <v>-1</v>
      </c>
      <c r="AO55" s="14"/>
      <c r="AP55" s="13" t="s">
        <v>5</v>
      </c>
      <c r="AR55" s="12"/>
      <c r="AS55" s="10">
        <f t="shared" si="9"/>
        <v>0</v>
      </c>
      <c r="AT55" s="12">
        <f t="shared" si="9"/>
        <v>0</v>
      </c>
      <c r="AU55" s="11" t="e">
        <f t="shared" si="10"/>
        <v>#DIV/0!</v>
      </c>
      <c r="AW55" s="14"/>
      <c r="AX55" s="13" t="s">
        <v>5</v>
      </c>
      <c r="AZ55" s="12"/>
      <c r="BA55" s="10">
        <f t="shared" si="11"/>
        <v>0</v>
      </c>
      <c r="BB55" s="12">
        <f t="shared" si="12"/>
        <v>0</v>
      </c>
      <c r="BC55" s="11" t="e">
        <f t="shared" si="13"/>
        <v>#DIV/0!</v>
      </c>
      <c r="BE55" s="14"/>
      <c r="BF55" s="13" t="s">
        <v>5</v>
      </c>
      <c r="BH55" s="12"/>
      <c r="BI55" s="10">
        <f t="shared" si="14"/>
        <v>0</v>
      </c>
      <c r="BJ55" s="12">
        <f t="shared" si="15"/>
        <v>0</v>
      </c>
      <c r="BK55" s="11" t="e">
        <f t="shared" si="16"/>
        <v>#DIV/0!</v>
      </c>
      <c r="BM55" s="14"/>
      <c r="BN55" s="13" t="s">
        <v>5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5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5</v>
      </c>
      <c r="CE55" s="50"/>
      <c r="CF55" s="50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5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5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4</v>
      </c>
      <c r="C56" s="10">
        <v>3</v>
      </c>
      <c r="D56" s="12">
        <v>163523.80952379</v>
      </c>
      <c r="F56" s="12"/>
      <c r="G56" s="11"/>
      <c r="I56" s="14"/>
      <c r="J56" s="13" t="s">
        <v>4</v>
      </c>
      <c r="K56" s="10">
        <v>5</v>
      </c>
      <c r="L56" s="12">
        <v>156057.14285710998</v>
      </c>
      <c r="M56" s="10">
        <f t="shared" si="0"/>
        <v>2</v>
      </c>
      <c r="N56" s="12">
        <f t="shared" si="0"/>
        <v>-7466.6666666800156</v>
      </c>
      <c r="O56" s="11">
        <f t="shared" si="1"/>
        <v>-4.566103669199157E-2</v>
      </c>
      <c r="Q56" s="14"/>
      <c r="R56" s="13" t="s">
        <v>4</v>
      </c>
      <c r="T56" s="12"/>
      <c r="U56" s="10">
        <f t="shared" si="2"/>
        <v>-5</v>
      </c>
      <c r="V56" s="12">
        <f t="shared" si="3"/>
        <v>-156057.14285710998</v>
      </c>
      <c r="W56" s="11">
        <f t="shared" si="4"/>
        <v>-1</v>
      </c>
      <c r="Y56" s="14"/>
      <c r="Z56" s="13"/>
      <c r="AB56" s="12">
        <v>55999.999999990003</v>
      </c>
      <c r="AC56" s="10">
        <f t="shared" si="5"/>
        <v>0</v>
      </c>
      <c r="AD56" s="12">
        <f t="shared" si="5"/>
        <v>55999.999999990003</v>
      </c>
      <c r="AE56" s="11" t="e">
        <f t="shared" si="6"/>
        <v>#DIV/0!</v>
      </c>
      <c r="AG56" s="14"/>
      <c r="AH56" s="13" t="s">
        <v>4</v>
      </c>
      <c r="AI56" s="13"/>
      <c r="AJ56" s="45"/>
      <c r="AK56" s="10">
        <f t="shared" si="7"/>
        <v>0</v>
      </c>
      <c r="AL56" s="12">
        <f t="shared" si="7"/>
        <v>-55999.999999990003</v>
      </c>
      <c r="AM56" s="11">
        <f t="shared" si="8"/>
        <v>-1</v>
      </c>
      <c r="AO56" s="14"/>
      <c r="AP56" s="13" t="s">
        <v>4</v>
      </c>
      <c r="AR56" s="12"/>
      <c r="AS56" s="10">
        <f t="shared" si="9"/>
        <v>0</v>
      </c>
      <c r="AT56" s="12">
        <f t="shared" si="9"/>
        <v>0</v>
      </c>
      <c r="AU56" s="11" t="e">
        <f t="shared" si="10"/>
        <v>#DIV/0!</v>
      </c>
      <c r="AW56" s="14"/>
      <c r="AX56" s="13" t="s">
        <v>4</v>
      </c>
      <c r="AZ56" s="12"/>
      <c r="BA56" s="10">
        <f t="shared" si="11"/>
        <v>0</v>
      </c>
      <c r="BB56" s="12">
        <f t="shared" si="12"/>
        <v>0</v>
      </c>
      <c r="BC56" s="11" t="e">
        <f t="shared" si="13"/>
        <v>#DIV/0!</v>
      </c>
      <c r="BE56" s="14"/>
      <c r="BF56" s="13" t="s">
        <v>4</v>
      </c>
      <c r="BH56" s="12"/>
      <c r="BI56" s="10">
        <f t="shared" si="14"/>
        <v>0</v>
      </c>
      <c r="BJ56" s="12">
        <f t="shared" si="15"/>
        <v>0</v>
      </c>
      <c r="BK56" s="11" t="e">
        <f t="shared" si="16"/>
        <v>#DIV/0!</v>
      </c>
      <c r="BM56" s="14"/>
      <c r="BN56" s="13" t="s">
        <v>4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4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4</v>
      </c>
      <c r="CE56" s="50"/>
      <c r="CF56" s="50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4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4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3</v>
      </c>
      <c r="C57" s="10">
        <v>13</v>
      </c>
      <c r="D57" s="12">
        <v>325428.57142852002</v>
      </c>
      <c r="F57" s="12"/>
      <c r="G57" s="11"/>
      <c r="I57" s="14"/>
      <c r="J57" s="13" t="s">
        <v>3</v>
      </c>
      <c r="K57" s="10">
        <v>5</v>
      </c>
      <c r="L57" s="12">
        <v>114761.90476188999</v>
      </c>
      <c r="M57" s="10">
        <f t="shared" si="0"/>
        <v>-8</v>
      </c>
      <c r="N57" s="12">
        <f t="shared" si="0"/>
        <v>-210666.66666663002</v>
      </c>
      <c r="O57" s="11">
        <f t="shared" si="1"/>
        <v>-0.64735147790458436</v>
      </c>
      <c r="Q57" s="14"/>
      <c r="R57" s="13" t="s">
        <v>3</v>
      </c>
      <c r="T57" s="12"/>
      <c r="U57" s="10">
        <f t="shared" si="2"/>
        <v>-5</v>
      </c>
      <c r="V57" s="12">
        <f t="shared" si="3"/>
        <v>-114761.90476188999</v>
      </c>
      <c r="W57" s="11">
        <f t="shared" si="4"/>
        <v>-1</v>
      </c>
      <c r="Y57" s="14"/>
      <c r="Z57" s="13"/>
      <c r="AB57" s="12">
        <v>321904.76190471998</v>
      </c>
      <c r="AC57" s="10">
        <f t="shared" si="5"/>
        <v>0</v>
      </c>
      <c r="AD57" s="12">
        <f t="shared" si="5"/>
        <v>321904.76190471998</v>
      </c>
      <c r="AE57" s="11" t="e">
        <f t="shared" si="6"/>
        <v>#DIV/0!</v>
      </c>
      <c r="AG57" s="14"/>
      <c r="AH57" s="13" t="s">
        <v>3</v>
      </c>
      <c r="AI57" s="13"/>
      <c r="AJ57" s="45"/>
      <c r="AK57" s="10">
        <f t="shared" si="7"/>
        <v>0</v>
      </c>
      <c r="AL57" s="12">
        <f t="shared" si="7"/>
        <v>-321904.76190471998</v>
      </c>
      <c r="AM57" s="11">
        <f t="shared" si="8"/>
        <v>-1</v>
      </c>
      <c r="AO57" s="14"/>
      <c r="AP57" s="13" t="s">
        <v>3</v>
      </c>
      <c r="AR57" s="12"/>
      <c r="AS57" s="10">
        <f t="shared" si="9"/>
        <v>0</v>
      </c>
      <c r="AT57" s="12">
        <f t="shared" si="9"/>
        <v>0</v>
      </c>
      <c r="AU57" s="11" t="e">
        <f t="shared" si="10"/>
        <v>#DIV/0!</v>
      </c>
      <c r="AW57" s="14"/>
      <c r="AX57" s="13" t="s">
        <v>3</v>
      </c>
      <c r="AZ57" s="12"/>
      <c r="BA57" s="10">
        <f t="shared" si="11"/>
        <v>0</v>
      </c>
      <c r="BB57" s="12">
        <f t="shared" si="12"/>
        <v>0</v>
      </c>
      <c r="BC57" s="11" t="e">
        <f t="shared" si="13"/>
        <v>#DIV/0!</v>
      </c>
      <c r="BE57" s="14"/>
      <c r="BF57" s="13" t="s">
        <v>3</v>
      </c>
      <c r="BH57" s="12"/>
      <c r="BI57" s="10">
        <f t="shared" si="14"/>
        <v>0</v>
      </c>
      <c r="BJ57" s="12">
        <f t="shared" si="15"/>
        <v>0</v>
      </c>
      <c r="BK57" s="11" t="e">
        <f t="shared" si="16"/>
        <v>#DIV/0!</v>
      </c>
      <c r="BM57" s="14"/>
      <c r="BN57" s="13" t="s">
        <v>3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3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3</v>
      </c>
      <c r="CE57" s="50"/>
      <c r="CF57" s="50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3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3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2</v>
      </c>
      <c r="C58" s="10">
        <v>7</v>
      </c>
      <c r="D58" s="12">
        <v>248857.14285712998</v>
      </c>
      <c r="F58" s="12"/>
      <c r="G58" s="11"/>
      <c r="I58" s="14"/>
      <c r="J58" s="13" t="s">
        <v>2</v>
      </c>
      <c r="K58" s="10">
        <v>20</v>
      </c>
      <c r="L58" s="12">
        <v>658095.23809521995</v>
      </c>
      <c r="M58" s="10">
        <f t="shared" si="0"/>
        <v>13</v>
      </c>
      <c r="N58" s="12">
        <f t="shared" si="0"/>
        <v>409238.09523808997</v>
      </c>
      <c r="O58" s="11">
        <f t="shared" si="1"/>
        <v>1.6444699579028577</v>
      </c>
      <c r="Q58" s="14"/>
      <c r="R58" s="13" t="s">
        <v>2</v>
      </c>
      <c r="T58" s="12"/>
      <c r="U58" s="10">
        <f t="shared" si="2"/>
        <v>-20</v>
      </c>
      <c r="V58" s="12">
        <f t="shared" si="3"/>
        <v>-658095.23809521995</v>
      </c>
      <c r="W58" s="11">
        <f t="shared" si="4"/>
        <v>-1</v>
      </c>
      <c r="Y58" s="14"/>
      <c r="Z58" s="13"/>
      <c r="AB58" s="12">
        <v>858761.90476186003</v>
      </c>
      <c r="AC58" s="10">
        <f t="shared" si="5"/>
        <v>0</v>
      </c>
      <c r="AD58" s="12">
        <f t="shared" si="5"/>
        <v>858761.90476186003</v>
      </c>
      <c r="AE58" s="11" t="e">
        <f t="shared" si="6"/>
        <v>#DIV/0!</v>
      </c>
      <c r="AG58" s="14"/>
      <c r="AH58" s="13" t="s">
        <v>2</v>
      </c>
      <c r="AI58" s="13"/>
      <c r="AJ58" s="45"/>
      <c r="AK58" s="10">
        <f t="shared" si="7"/>
        <v>0</v>
      </c>
      <c r="AL58" s="12">
        <f t="shared" si="7"/>
        <v>-858761.90476186003</v>
      </c>
      <c r="AM58" s="11">
        <f t="shared" si="8"/>
        <v>-1</v>
      </c>
      <c r="AO58" s="14"/>
      <c r="AP58" s="13" t="s">
        <v>2</v>
      </c>
      <c r="AR58" s="12"/>
      <c r="AS58" s="10">
        <f t="shared" si="9"/>
        <v>0</v>
      </c>
      <c r="AT58" s="12">
        <f t="shared" si="9"/>
        <v>0</v>
      </c>
      <c r="AU58" s="11" t="e">
        <f t="shared" si="10"/>
        <v>#DIV/0!</v>
      </c>
      <c r="AW58" s="14"/>
      <c r="AX58" s="13" t="s">
        <v>2</v>
      </c>
      <c r="AZ58" s="12"/>
      <c r="BA58" s="10">
        <f t="shared" si="11"/>
        <v>0</v>
      </c>
      <c r="BB58" s="12">
        <f t="shared" si="12"/>
        <v>0</v>
      </c>
      <c r="BC58" s="11" t="e">
        <f t="shared" si="13"/>
        <v>#DIV/0!</v>
      </c>
      <c r="BE58" s="14"/>
      <c r="BF58" s="13" t="s">
        <v>2</v>
      </c>
      <c r="BH58" s="12"/>
      <c r="BI58" s="10">
        <f t="shared" si="14"/>
        <v>0</v>
      </c>
      <c r="BJ58" s="12">
        <f t="shared" si="15"/>
        <v>0</v>
      </c>
      <c r="BK58" s="11" t="e">
        <f t="shared" si="16"/>
        <v>#DIV/0!</v>
      </c>
      <c r="BM58" s="14"/>
      <c r="BN58" s="13" t="s">
        <v>2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2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2</v>
      </c>
      <c r="CE58" s="50"/>
      <c r="CF58" s="50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2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2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" customFormat="1" ht="20" customHeight="1">
      <c r="A59" s="9" t="s">
        <v>1</v>
      </c>
      <c r="B59" s="9"/>
      <c r="C59" s="8">
        <v>218</v>
      </c>
      <c r="D59" s="7">
        <v>1169949.9999992999</v>
      </c>
      <c r="E59" s="27"/>
      <c r="F59" s="28"/>
      <c r="G59" s="29"/>
      <c r="I59" s="9" t="s">
        <v>1</v>
      </c>
      <c r="J59" s="9"/>
      <c r="K59" s="8">
        <v>238</v>
      </c>
      <c r="L59" s="7">
        <v>1303737.1428564498</v>
      </c>
      <c r="M59" s="27">
        <f t="shared" si="0"/>
        <v>20</v>
      </c>
      <c r="N59" s="28">
        <f t="shared" si="0"/>
        <v>133787.14285714994</v>
      </c>
      <c r="O59" s="29">
        <f t="shared" si="1"/>
        <v>0.11435287222294116</v>
      </c>
      <c r="Q59" s="9" t="s">
        <v>1</v>
      </c>
      <c r="R59" s="9"/>
      <c r="S59" s="8"/>
      <c r="T59" s="7"/>
      <c r="U59" s="27">
        <f t="shared" si="2"/>
        <v>-238</v>
      </c>
      <c r="V59" s="28">
        <f t="shared" si="3"/>
        <v>-1303737.1428564498</v>
      </c>
      <c r="W59" s="29">
        <f t="shared" si="4"/>
        <v>-1</v>
      </c>
      <c r="Y59" s="9" t="s">
        <v>1</v>
      </c>
      <c r="Z59" s="9"/>
      <c r="AA59" s="8"/>
      <c r="AB59" s="7">
        <v>1599567.6190470499</v>
      </c>
      <c r="AC59" s="27">
        <f t="shared" si="5"/>
        <v>0</v>
      </c>
      <c r="AD59" s="28">
        <f t="shared" si="5"/>
        <v>1599567.6190470499</v>
      </c>
      <c r="AE59" s="29" t="e">
        <f t="shared" si="6"/>
        <v>#DIV/0!</v>
      </c>
      <c r="AG59" s="9" t="s">
        <v>1</v>
      </c>
      <c r="AH59" s="9"/>
      <c r="AI59" s="9"/>
      <c r="AJ59" s="46"/>
      <c r="AK59" s="27">
        <f t="shared" si="7"/>
        <v>0</v>
      </c>
      <c r="AL59" s="28">
        <f t="shared" si="7"/>
        <v>-1599567.6190470499</v>
      </c>
      <c r="AM59" s="29">
        <f t="shared" si="8"/>
        <v>-1</v>
      </c>
      <c r="AO59" s="9" t="s">
        <v>1</v>
      </c>
      <c r="AP59" s="9"/>
      <c r="AQ59" s="8"/>
      <c r="AR59" s="7"/>
      <c r="AS59" s="27">
        <f t="shared" si="9"/>
        <v>0</v>
      </c>
      <c r="AT59" s="28">
        <f t="shared" si="9"/>
        <v>0</v>
      </c>
      <c r="AU59" s="29" t="e">
        <f t="shared" si="10"/>
        <v>#DIV/0!</v>
      </c>
      <c r="AW59" s="9" t="s">
        <v>1</v>
      </c>
      <c r="AX59" s="9"/>
      <c r="AY59" s="8"/>
      <c r="AZ59" s="7"/>
      <c r="BA59" s="27">
        <f t="shared" si="11"/>
        <v>0</v>
      </c>
      <c r="BB59" s="28">
        <f t="shared" si="12"/>
        <v>0</v>
      </c>
      <c r="BC59" s="29" t="e">
        <f t="shared" si="13"/>
        <v>#DIV/0!</v>
      </c>
      <c r="BE59" s="9" t="s">
        <v>1</v>
      </c>
      <c r="BF59" s="9"/>
      <c r="BG59" s="8"/>
      <c r="BH59" s="7"/>
      <c r="BI59" s="27">
        <f t="shared" si="14"/>
        <v>0</v>
      </c>
      <c r="BJ59" s="28">
        <f t="shared" si="15"/>
        <v>0</v>
      </c>
      <c r="BK59" s="29" t="e">
        <f t="shared" si="16"/>
        <v>#DIV/0!</v>
      </c>
      <c r="BM59" s="9" t="s">
        <v>1</v>
      </c>
      <c r="BN59" s="9"/>
      <c r="BO59" s="8"/>
      <c r="BP59" s="7"/>
      <c r="BQ59" s="27">
        <f t="shared" si="17"/>
        <v>0</v>
      </c>
      <c r="BR59" s="28">
        <f t="shared" si="18"/>
        <v>0</v>
      </c>
      <c r="BS59" s="29" t="e">
        <f t="shared" si="19"/>
        <v>#DIV/0!</v>
      </c>
      <c r="BU59" s="9" t="s">
        <v>1</v>
      </c>
      <c r="BV59" s="9"/>
      <c r="BW59" s="8"/>
      <c r="BX59" s="7"/>
      <c r="BY59" s="27">
        <f t="shared" si="32"/>
        <v>0</v>
      </c>
      <c r="BZ59" s="28">
        <f t="shared" si="21"/>
        <v>0</v>
      </c>
      <c r="CA59" s="29" t="e">
        <f t="shared" si="22"/>
        <v>#DIV/0!</v>
      </c>
      <c r="CC59" s="9" t="s">
        <v>1</v>
      </c>
      <c r="CD59" s="9"/>
      <c r="CE59" s="51"/>
      <c r="CF59" s="51"/>
      <c r="CG59" s="27">
        <f t="shared" si="23"/>
        <v>0</v>
      </c>
      <c r="CH59" s="28">
        <f t="shared" si="24"/>
        <v>0</v>
      </c>
      <c r="CI59" s="29" t="e">
        <f t="shared" si="25"/>
        <v>#DIV/0!</v>
      </c>
      <c r="CK59" s="9" t="s">
        <v>1</v>
      </c>
      <c r="CL59" s="9"/>
      <c r="CM59" s="8"/>
      <c r="CN59" s="7"/>
      <c r="CO59" s="27">
        <f t="shared" si="26"/>
        <v>0</v>
      </c>
      <c r="CP59" s="28">
        <f t="shared" si="27"/>
        <v>0</v>
      </c>
      <c r="CQ59" s="29" t="e">
        <f t="shared" si="28"/>
        <v>#DIV/0!</v>
      </c>
      <c r="CS59" s="9" t="s">
        <v>1</v>
      </c>
      <c r="CT59" s="9"/>
      <c r="CU59" s="8"/>
      <c r="CV59" s="7"/>
      <c r="CW59" s="27">
        <f t="shared" si="29"/>
        <v>0</v>
      </c>
      <c r="CX59" s="28">
        <f t="shared" si="30"/>
        <v>0</v>
      </c>
      <c r="CY59" s="29" t="e">
        <f t="shared" si="31"/>
        <v>#DIV/0!</v>
      </c>
    </row>
    <row r="60" spans="1:103" s="1" customFormat="1" ht="20" customHeight="1">
      <c r="A60" s="4" t="s">
        <v>0</v>
      </c>
      <c r="B60" s="4"/>
      <c r="C60" s="3">
        <v>1739</v>
      </c>
      <c r="D60" s="2">
        <v>12276756.666662497</v>
      </c>
      <c r="E60" s="6"/>
      <c r="F60" s="5"/>
      <c r="G60" s="30"/>
      <c r="I60" s="4" t="s">
        <v>0</v>
      </c>
      <c r="J60" s="4"/>
      <c r="K60" s="3">
        <v>1617</v>
      </c>
      <c r="L60" s="2">
        <v>14975468.095234502</v>
      </c>
      <c r="M60" s="6">
        <f t="shared" si="0"/>
        <v>-122</v>
      </c>
      <c r="N60" s="5">
        <f t="shared" si="0"/>
        <v>2698711.4285720047</v>
      </c>
      <c r="O60" s="30">
        <f t="shared" si="1"/>
        <v>0.21982283284153942</v>
      </c>
      <c r="Q60" s="4" t="s">
        <v>0</v>
      </c>
      <c r="R60" s="4"/>
      <c r="S60" s="3"/>
      <c r="T60" s="2"/>
      <c r="U60" s="6">
        <f t="shared" si="2"/>
        <v>-1617</v>
      </c>
      <c r="V60" s="5">
        <f t="shared" si="3"/>
        <v>-14975468.095234502</v>
      </c>
      <c r="W60" s="30">
        <f t="shared" si="4"/>
        <v>-1</v>
      </c>
      <c r="Y60" s="4" t="s">
        <v>0</v>
      </c>
      <c r="Z60" s="4"/>
      <c r="AA60" s="3"/>
      <c r="AB60" s="2">
        <v>16504919.047614958</v>
      </c>
      <c r="AC60" s="6">
        <f t="shared" si="5"/>
        <v>0</v>
      </c>
      <c r="AD60" s="5">
        <f t="shared" si="5"/>
        <v>16504919.047614958</v>
      </c>
      <c r="AE60" s="30" t="e">
        <f t="shared" si="6"/>
        <v>#DIV/0!</v>
      </c>
      <c r="AG60" s="4" t="s">
        <v>0</v>
      </c>
      <c r="AH60" s="4"/>
      <c r="AI60" s="4"/>
      <c r="AJ60" s="48"/>
      <c r="AK60" s="6">
        <f t="shared" si="7"/>
        <v>0</v>
      </c>
      <c r="AL60" s="5">
        <f t="shared" si="7"/>
        <v>-16504919.047614958</v>
      </c>
      <c r="AM60" s="30">
        <f t="shared" si="8"/>
        <v>-1</v>
      </c>
      <c r="AO60" s="4" t="s">
        <v>0</v>
      </c>
      <c r="AP60" s="4"/>
      <c r="AQ60" s="3"/>
      <c r="AR60" s="2"/>
      <c r="AS60" s="6">
        <f t="shared" si="9"/>
        <v>0</v>
      </c>
      <c r="AT60" s="5">
        <f t="shared" si="9"/>
        <v>0</v>
      </c>
      <c r="AU60" s="30" t="e">
        <f t="shared" si="10"/>
        <v>#DIV/0!</v>
      </c>
      <c r="AW60" s="4" t="s">
        <v>0</v>
      </c>
      <c r="AX60" s="4"/>
      <c r="AY60" s="3"/>
      <c r="AZ60" s="2"/>
      <c r="BA60" s="6">
        <f t="shared" si="11"/>
        <v>0</v>
      </c>
      <c r="BB60" s="5">
        <f t="shared" si="12"/>
        <v>0</v>
      </c>
      <c r="BC60" s="30" t="e">
        <f t="shared" si="13"/>
        <v>#DIV/0!</v>
      </c>
      <c r="BE60" s="4" t="s">
        <v>0</v>
      </c>
      <c r="BF60" s="4"/>
      <c r="BG60" s="3"/>
      <c r="BH60" s="2"/>
      <c r="BI60" s="6">
        <f t="shared" si="14"/>
        <v>0</v>
      </c>
      <c r="BJ60" s="5">
        <f t="shared" si="15"/>
        <v>0</v>
      </c>
      <c r="BK60" s="30" t="e">
        <f t="shared" si="16"/>
        <v>#DIV/0!</v>
      </c>
      <c r="BM60" s="4" t="s">
        <v>0</v>
      </c>
      <c r="BN60" s="4"/>
      <c r="BO60" s="3"/>
      <c r="BP60" s="2"/>
      <c r="BQ60" s="6">
        <f t="shared" si="17"/>
        <v>0</v>
      </c>
      <c r="BR60" s="5">
        <f t="shared" si="18"/>
        <v>0</v>
      </c>
      <c r="BS60" s="30" t="e">
        <f t="shared" si="19"/>
        <v>#DIV/0!</v>
      </c>
      <c r="BU60" s="4" t="s">
        <v>0</v>
      </c>
      <c r="BV60" s="4"/>
      <c r="BW60" s="3"/>
      <c r="BX60" s="2"/>
      <c r="BY60" s="6">
        <f t="shared" si="32"/>
        <v>0</v>
      </c>
      <c r="BZ60" s="5">
        <f t="shared" si="21"/>
        <v>0</v>
      </c>
      <c r="CA60" s="30" t="e">
        <f t="shared" si="22"/>
        <v>#DIV/0!</v>
      </c>
      <c r="CC60" s="4" t="s">
        <v>0</v>
      </c>
      <c r="CD60" s="4"/>
      <c r="CE60" s="3"/>
      <c r="CF60" s="2"/>
      <c r="CG60" s="6">
        <f t="shared" si="23"/>
        <v>0</v>
      </c>
      <c r="CH60" s="5">
        <f t="shared" si="24"/>
        <v>0</v>
      </c>
      <c r="CI60" s="30" t="e">
        <f t="shared" si="25"/>
        <v>#DIV/0!</v>
      </c>
      <c r="CK60" s="4" t="s">
        <v>0</v>
      </c>
      <c r="CL60" s="4"/>
      <c r="CM60" s="3"/>
      <c r="CN60" s="2"/>
      <c r="CO60" s="6">
        <f t="shared" si="26"/>
        <v>0</v>
      </c>
      <c r="CP60" s="5">
        <f t="shared" si="27"/>
        <v>0</v>
      </c>
      <c r="CQ60" s="30" t="e">
        <f t="shared" si="28"/>
        <v>#DIV/0!</v>
      </c>
      <c r="CS60" s="4" t="s">
        <v>0</v>
      </c>
      <c r="CT60" s="4"/>
      <c r="CU60" s="3"/>
      <c r="CV60" s="2"/>
      <c r="CW60" s="6">
        <f t="shared" si="29"/>
        <v>0</v>
      </c>
      <c r="CX60" s="5">
        <f t="shared" si="30"/>
        <v>0</v>
      </c>
      <c r="CY60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NOT(ISERROR(SEARCH("-",E5)))</xm:f>
            <xm:f>"-"</xm:f>
            <x14:dxf>
              <font>
                <color rgb="FFFF0000"/>
              </font>
            </x14:dxf>
          </x14:cfRule>
          <xm:sqref>M5:O60 U5:W60 AC5:AE60 AJ5:AM60 AS5:AU60 BA5:BC60 BI5:BK60 BQ5:BS60 BY5:CA60 CG5:CI60 CO5:CQ60 CW5:CY60 E7:G60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2026-07-12T12:16:22Z</dcterms:modified>
</cp:coreProperties>
</file>