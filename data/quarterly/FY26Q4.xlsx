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0E96A3DE-0438-CC42-AE2A-88F5028A94C1}" xr6:coauthVersionLast="47" xr6:coauthVersionMax="47" xr10:uidLastSave="{00000000-0000-0000-0000-000000000000}"/>
  <bookViews>
    <workbookView xWindow="12760" yWindow="386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<sst xmlns="http://schemas.openxmlformats.org/spreadsheetml/2006/main" count="774" uniqueCount="27">
  <si>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</si>
  <si>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</si>
  <si>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</si>
  <si>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</si>
  <si>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</si>
  <si>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</si>
  <si>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</si>
  <si>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</si>
  <si>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</si>
  <si>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</si>
  <si>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</si>
  <si>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</si>
  <si>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</si>
  <si>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</si>
  <si>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</si>
  <si>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</si>
  <si>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</si>
  <si>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</si>
  <si>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</si>
  <si>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</si>
  <si>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</si>
  <si>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</si>
  <si>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</si>
  <si>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</si>
  <si>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</si>
  <si>
    <t>26Q4W3</t>
    <phoneticPr fontId="2" type="noConversion"/>
  </si>
  <si>
    <t>07/12-07/18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</si>
</sst>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2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zoomScale="75" workbookViewId="0">
      <pane xSplit="1" topLeftCell="H1" activePane="topRight" state="frozen"/>
      <selection pane="topRight" activeCell="T38" sqref="T38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 t="s">
        <v>25</v>
      </c>
      <c r="R1" s="26"/>
      <c r="T1" s="25"/>
      <c r="Y1" s="26"/>
      <c r="Z1" s="26"/>
      <c r="AB1" s="25"/>
      <c r="AG1" s="26"/>
      <c r="AH1" s="26"/>
      <c r="AJ1" s="41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 t="s">
        <v>26</v>
      </c>
      <c r="S2" s="23"/>
      <c r="U2" s="23"/>
      <c r="W2" s="23"/>
      <c r="Y2" s="23"/>
      <c r="Z2" s="22"/>
      <c r="AB2" s="21"/>
      <c r="AG2" s="23"/>
      <c r="AJ2" s="42"/>
      <c r="AK2" s="22"/>
      <c r="AL2" s="22"/>
      <c r="AN2" s="21"/>
      <c r="AO2" s="23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17</v>
      </c>
      <c r="AP4" s="19" t="s">
        <v>16</v>
      </c>
      <c r="AQ4" s="18" t="s">
        <v>15</v>
      </c>
      <c r="AR4" s="17" t="s">
        <v>14</v>
      </c>
      <c r="AS4" s="16" t="s">
        <v>13</v>
      </c>
      <c r="AT4" s="16" t="s">
        <v>13</v>
      </c>
      <c r="AU4" s="16" t="s">
        <v>13</v>
      </c>
      <c r="AW4" s="19" t="s">
        <v>17</v>
      </c>
      <c r="AX4" s="19" t="s">
        <v>16</v>
      </c>
      <c r="AY4" s="18" t="s">
        <v>15</v>
      </c>
      <c r="AZ4" s="17" t="s">
        <v>14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17</v>
      </c>
      <c r="BN4" s="19" t="s">
        <v>16</v>
      </c>
      <c r="BO4" s="18" t="s">
        <v>15</v>
      </c>
      <c r="BP4" s="17" t="s">
        <v>14</v>
      </c>
      <c r="BQ4" s="16" t="s">
        <v>13</v>
      </c>
      <c r="BR4" s="16" t="s">
        <v>13</v>
      </c>
      <c r="BS4" s="16" t="s">
        <v>13</v>
      </c>
      <c r="BU4" s="19" t="s">
        <v>17</v>
      </c>
      <c r="BV4" s="19" t="s">
        <v>16</v>
      </c>
      <c r="BW4" s="18" t="s">
        <v>15</v>
      </c>
      <c r="BX4" s="17" t="s">
        <v>14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>
        <v>6480</v>
      </c>
      <c r="T5" s="1"/>
      <c r="U5" s="10">
        <f t="shared" ref="U5:U60" si="2">S5-K5</f>
        <v>2320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/>
      <c r="AA5" s="40"/>
      <c r="AB5" s="1"/>
      <c r="AC5" s="10">
        <f t="shared" ref="AC5:AD60" si="5">AA5-S5</f>
        <v>-6480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/>
      <c r="AJ5" s="43"/>
      <c r="AK5" s="10">
        <f t="shared" ref="AK5:AL60" si="7">AI5-AA5</f>
        <v>0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19</v>
      </c>
      <c r="AQ5" s="40"/>
      <c r="AR5" s="1"/>
      <c r="AS5" s="10">
        <f t="shared" ref="AS5:AT60" si="9">AQ5-AI5</f>
        <v>0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19</v>
      </c>
      <c r="AY5" s="40"/>
      <c r="AZ5" s="1"/>
      <c r="BA5" s="10">
        <f t="shared" ref="BA5:BA60" si="11">AY5-AQ5</f>
        <v>0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0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19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19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0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T6" s="33"/>
      <c r="U6" s="10">
        <f t="shared" si="2"/>
        <v>-8</v>
      </c>
      <c r="V6" s="12">
        <f t="shared" si="3"/>
        <v>0</v>
      </c>
      <c r="W6" s="11" t="e">
        <f t="shared" si="4"/>
        <v>#DIV/0!</v>
      </c>
      <c r="Y6" s="14"/>
      <c r="Z6" s="32"/>
      <c r="AB6" s="33"/>
      <c r="AC6" s="10">
        <f t="shared" si="5"/>
        <v>0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/>
      <c r="AJ6" s="44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20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20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20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S7" s="10">
        <v>232</v>
      </c>
      <c r="T7" s="12">
        <v>272942.85714200989</v>
      </c>
      <c r="U7" s="10">
        <f t="shared" si="2"/>
        <v>73</v>
      </c>
      <c r="V7" s="12">
        <f t="shared" si="3"/>
        <v>94459.999999759893</v>
      </c>
      <c r="W7" s="11">
        <f t="shared" si="4"/>
        <v>0.52923850229759439</v>
      </c>
      <c r="Y7" s="14"/>
      <c r="Z7" s="13"/>
      <c r="AB7" s="12">
        <v>201242.85714209004</v>
      </c>
      <c r="AC7" s="10">
        <f t="shared" si="5"/>
        <v>-232</v>
      </c>
      <c r="AD7" s="12">
        <f t="shared" si="5"/>
        <v>-71699.999999919848</v>
      </c>
      <c r="AE7" s="11">
        <f t="shared" si="6"/>
        <v>-0.26269234795404423</v>
      </c>
      <c r="AG7" s="14"/>
      <c r="AH7" s="13" t="s">
        <v>9</v>
      </c>
      <c r="AI7" s="13"/>
      <c r="AJ7" s="45"/>
      <c r="AK7" s="10">
        <f t="shared" si="7"/>
        <v>0</v>
      </c>
      <c r="AL7" s="12">
        <f t="shared" si="7"/>
        <v>-201242.85714209004</v>
      </c>
      <c r="AM7" s="11">
        <f t="shared" si="8"/>
        <v>-1</v>
      </c>
      <c r="AO7" s="14"/>
      <c r="AP7" s="13" t="s">
        <v>9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9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9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S8" s="10">
        <v>326</v>
      </c>
      <c r="T8" s="12">
        <v>435428.57142646989</v>
      </c>
      <c r="U8" s="10">
        <f t="shared" si="2"/>
        <v>137</v>
      </c>
      <c r="V8" s="12">
        <f t="shared" si="3"/>
        <v>167453.33333142992</v>
      </c>
      <c r="W8" s="11">
        <f t="shared" si="4"/>
        <v>0.62488360686535149</v>
      </c>
      <c r="Y8" s="14"/>
      <c r="Z8" s="13"/>
      <c r="AB8" s="12">
        <v>475849.52380930987</v>
      </c>
      <c r="AC8" s="10">
        <f t="shared" si="5"/>
        <v>-326</v>
      </c>
      <c r="AD8" s="12">
        <f t="shared" si="5"/>
        <v>40420.952382839983</v>
      </c>
      <c r="AE8" s="11">
        <f t="shared" si="6"/>
        <v>9.2830271220881069E-2</v>
      </c>
      <c r="AG8" s="14"/>
      <c r="AH8" s="13" t="s">
        <v>8</v>
      </c>
      <c r="AI8" s="13"/>
      <c r="AJ8" s="45"/>
      <c r="AK8" s="10">
        <f t="shared" si="7"/>
        <v>0</v>
      </c>
      <c r="AL8" s="12">
        <f t="shared" si="7"/>
        <v>-475849.52380930987</v>
      </c>
      <c r="AM8" s="11">
        <f t="shared" si="8"/>
        <v>-1</v>
      </c>
      <c r="AO8" s="14"/>
      <c r="AP8" s="13" t="s">
        <v>8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8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8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S9" s="10">
        <v>74</v>
      </c>
      <c r="T9" s="12">
        <v>490439.04761901998</v>
      </c>
      <c r="U9" s="10">
        <f t="shared" si="2"/>
        <v>12</v>
      </c>
      <c r="V9" s="12">
        <f t="shared" si="3"/>
        <v>78172.380952370004</v>
      </c>
      <c r="W9" s="11">
        <f t="shared" si="4"/>
        <v>0.18961605987800736</v>
      </c>
      <c r="Y9" s="14"/>
      <c r="Z9" s="13"/>
      <c r="AB9" s="12">
        <v>426009.52380950004</v>
      </c>
      <c r="AC9" s="10">
        <f t="shared" si="5"/>
        <v>-74</v>
      </c>
      <c r="AD9" s="12">
        <f t="shared" si="5"/>
        <v>-64429.523809519946</v>
      </c>
      <c r="AE9" s="11">
        <f t="shared" si="6"/>
        <v>-0.13137111354063657</v>
      </c>
      <c r="AG9" s="14"/>
      <c r="AH9" s="13" t="s">
        <v>7</v>
      </c>
      <c r="AI9" s="13"/>
      <c r="AJ9" s="45"/>
      <c r="AK9" s="10">
        <f t="shared" si="7"/>
        <v>0</v>
      </c>
      <c r="AL9" s="12">
        <f t="shared" si="7"/>
        <v>-426009.52380950004</v>
      </c>
      <c r="AM9" s="11">
        <f t="shared" si="8"/>
        <v>-1</v>
      </c>
      <c r="AO9" s="14"/>
      <c r="AP9" s="13" t="s">
        <v>7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7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7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S10" s="10">
        <v>47</v>
      </c>
      <c r="T10" s="12">
        <v>596476.19047609996</v>
      </c>
      <c r="U10" s="10">
        <f t="shared" si="2"/>
        <v>22</v>
      </c>
      <c r="V10" s="12">
        <f t="shared" si="3"/>
        <v>317328.57142852992</v>
      </c>
      <c r="W10" s="11">
        <f t="shared" si="4"/>
        <v>1.1367769229457529</v>
      </c>
      <c r="Y10" s="14"/>
      <c r="Z10" s="13"/>
      <c r="AB10" s="12">
        <v>787523.80952371005</v>
      </c>
      <c r="AC10" s="10">
        <f t="shared" si="5"/>
        <v>-47</v>
      </c>
      <c r="AD10" s="12">
        <f t="shared" si="5"/>
        <v>191047.61904761009</v>
      </c>
      <c r="AE10" s="11">
        <f t="shared" si="6"/>
        <v>0.32029378891908195</v>
      </c>
      <c r="AG10" s="14"/>
      <c r="AH10" s="13" t="s">
        <v>6</v>
      </c>
      <c r="AI10" s="13"/>
      <c r="AJ10" s="45"/>
      <c r="AK10" s="10">
        <f t="shared" si="7"/>
        <v>0</v>
      </c>
      <c r="AL10" s="12">
        <f t="shared" si="7"/>
        <v>-787523.80952371005</v>
      </c>
      <c r="AM10" s="11">
        <f t="shared" si="8"/>
        <v>-1</v>
      </c>
      <c r="AO10" s="14"/>
      <c r="AP10" s="13" t="s">
        <v>6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6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6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S11" s="10">
        <v>12</v>
      </c>
      <c r="T11" s="12">
        <v>66680</v>
      </c>
      <c r="U11" s="10">
        <f t="shared" si="2"/>
        <v>4</v>
      </c>
      <c r="V11" s="12">
        <f t="shared" si="3"/>
        <v>31560</v>
      </c>
      <c r="W11" s="11">
        <f t="shared" si="4"/>
        <v>0.89863325740318911</v>
      </c>
      <c r="Y11" s="14"/>
      <c r="Z11" s="13"/>
      <c r="AB11" s="12">
        <v>26860</v>
      </c>
      <c r="AC11" s="10">
        <f t="shared" si="5"/>
        <v>-12</v>
      </c>
      <c r="AD11" s="12">
        <f t="shared" si="5"/>
        <v>-39820</v>
      </c>
      <c r="AE11" s="11">
        <f t="shared" si="6"/>
        <v>-0.59718056388722252</v>
      </c>
      <c r="AG11" s="14"/>
      <c r="AH11" s="13" t="s">
        <v>5</v>
      </c>
      <c r="AI11" s="13"/>
      <c r="AJ11" s="45"/>
      <c r="AK11" s="10">
        <f t="shared" si="7"/>
        <v>0</v>
      </c>
      <c r="AL11" s="12">
        <f t="shared" si="7"/>
        <v>-26860</v>
      </c>
      <c r="AM11" s="11">
        <f t="shared" si="8"/>
        <v>-1</v>
      </c>
      <c r="AO11" s="14"/>
      <c r="AP11" s="13" t="s">
        <v>5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5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5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S12" s="10">
        <v>28</v>
      </c>
      <c r="T12" s="12">
        <v>1271766.6666665294</v>
      </c>
      <c r="U12" s="10">
        <f t="shared" si="2"/>
        <v>0</v>
      </c>
      <c r="V12" s="12">
        <f t="shared" si="3"/>
        <v>236928.57142850908</v>
      </c>
      <c r="W12" s="11">
        <f t="shared" si="4"/>
        <v>0.22895230907982159</v>
      </c>
      <c r="Y12" s="14"/>
      <c r="Z12" s="13"/>
      <c r="AB12" s="12">
        <v>1773776.1904760499</v>
      </c>
      <c r="AC12" s="10">
        <f t="shared" si="5"/>
        <v>-28</v>
      </c>
      <c r="AD12" s="12">
        <f t="shared" si="5"/>
        <v>502009.52380952053</v>
      </c>
      <c r="AE12" s="11">
        <f t="shared" si="6"/>
        <v>0.39473398459589659</v>
      </c>
      <c r="AG12" s="14"/>
      <c r="AH12" s="13" t="s">
        <v>4</v>
      </c>
      <c r="AI12" s="13"/>
      <c r="AJ12" s="45"/>
      <c r="AK12" s="10">
        <f t="shared" si="7"/>
        <v>0</v>
      </c>
      <c r="AL12" s="12">
        <f t="shared" si="7"/>
        <v>-1773776.1904760499</v>
      </c>
      <c r="AM12" s="11">
        <f t="shared" si="8"/>
        <v>-1</v>
      </c>
      <c r="AO12" s="14"/>
      <c r="AP12" s="13" t="s">
        <v>4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4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4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S13" s="10">
        <v>65</v>
      </c>
      <c r="T13" s="12">
        <v>1783619.0476188997</v>
      </c>
      <c r="U13" s="10">
        <f t="shared" si="2"/>
        <v>5</v>
      </c>
      <c r="V13" s="12">
        <f t="shared" si="3"/>
        <v>373428.57142852969</v>
      </c>
      <c r="W13" s="11">
        <f t="shared" si="4"/>
        <v>0.26480718579049484</v>
      </c>
      <c r="Y13" s="14"/>
      <c r="Z13" s="13"/>
      <c r="AB13" s="12">
        <v>1379619.0476189305</v>
      </c>
      <c r="AC13" s="10">
        <f t="shared" si="5"/>
        <v>-65</v>
      </c>
      <c r="AD13" s="12">
        <f t="shared" si="5"/>
        <v>-403999.99999996927</v>
      </c>
      <c r="AE13" s="11">
        <f t="shared" si="6"/>
        <v>-0.22650576676634071</v>
      </c>
      <c r="AG13" s="14"/>
      <c r="AH13" s="13" t="s">
        <v>3</v>
      </c>
      <c r="AI13" s="13"/>
      <c r="AJ13" s="45"/>
      <c r="AK13" s="10">
        <f t="shared" si="7"/>
        <v>0</v>
      </c>
      <c r="AL13" s="12">
        <f t="shared" si="7"/>
        <v>-1379619.0476189305</v>
      </c>
      <c r="AM13" s="11">
        <f t="shared" si="8"/>
        <v>-1</v>
      </c>
      <c r="AO13" s="14"/>
      <c r="AP13" s="13" t="s">
        <v>3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3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3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S14" s="10">
        <v>117</v>
      </c>
      <c r="T14" s="12">
        <v>4160098.0952380095</v>
      </c>
      <c r="U14" s="10">
        <f t="shared" si="2"/>
        <v>-23</v>
      </c>
      <c r="V14" s="12">
        <f t="shared" si="3"/>
        <v>-978949.52380955033</v>
      </c>
      <c r="W14" s="11">
        <f t="shared" si="4"/>
        <v>-0.19049240177910298</v>
      </c>
      <c r="Y14" s="14"/>
      <c r="Z14" s="13"/>
      <c r="AB14" s="12">
        <v>2842761.9047618099</v>
      </c>
      <c r="AC14" s="10">
        <f t="shared" si="5"/>
        <v>-117</v>
      </c>
      <c r="AD14" s="12">
        <f t="shared" si="5"/>
        <v>-1317336.1904761996</v>
      </c>
      <c r="AE14" s="11">
        <f t="shared" si="6"/>
        <v>-0.31665988645415138</v>
      </c>
      <c r="AG14" s="14"/>
      <c r="AH14" s="13" t="s">
        <v>2</v>
      </c>
      <c r="AI14" s="13"/>
      <c r="AJ14" s="45"/>
      <c r="AK14" s="10">
        <f t="shared" si="7"/>
        <v>0</v>
      </c>
      <c r="AL14" s="12">
        <f t="shared" si="7"/>
        <v>-2842761.9047618099</v>
      </c>
      <c r="AM14" s="11">
        <f t="shared" si="8"/>
        <v>-1</v>
      </c>
      <c r="AO14" s="14"/>
      <c r="AP14" s="13" t="s">
        <v>2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2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2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>
        <v>901</v>
      </c>
      <c r="T15" s="7">
        <v>9077450.4761870392</v>
      </c>
      <c r="U15" s="27">
        <f t="shared" si="2"/>
        <v>230</v>
      </c>
      <c r="V15" s="28">
        <f t="shared" si="3"/>
        <v>320381.90475957841</v>
      </c>
      <c r="W15" s="29">
        <f t="shared" si="4"/>
        <v>3.6585519702896883E-2</v>
      </c>
      <c r="Y15" s="9" t="s">
        <v>18</v>
      </c>
      <c r="Z15" s="9"/>
      <c r="AA15" s="8"/>
      <c r="AB15" s="7">
        <v>7913642.8571413998</v>
      </c>
      <c r="AC15" s="27">
        <f t="shared" si="5"/>
        <v>-901</v>
      </c>
      <c r="AD15" s="28">
        <f t="shared" si="5"/>
        <v>-1163807.6190456394</v>
      </c>
      <c r="AE15" s="29">
        <f t="shared" si="6"/>
        <v>-0.12820864427723036</v>
      </c>
      <c r="AG15" s="9" t="s">
        <v>18</v>
      </c>
      <c r="AH15" s="9"/>
      <c r="AI15" s="9"/>
      <c r="AJ15" s="46"/>
      <c r="AK15" s="27">
        <f t="shared" si="7"/>
        <v>0</v>
      </c>
      <c r="AL15" s="28">
        <f t="shared" si="7"/>
        <v>-7913642.8571413998</v>
      </c>
      <c r="AM15" s="29">
        <f t="shared" si="8"/>
        <v>-1</v>
      </c>
      <c r="AO15" s="9" t="s">
        <v>18</v>
      </c>
      <c r="AP15" s="9"/>
      <c r="AQ15" s="8"/>
      <c r="AR15" s="7"/>
      <c r="AS15" s="27">
        <f t="shared" si="9"/>
        <v>0</v>
      </c>
      <c r="AT15" s="28">
        <f t="shared" si="9"/>
        <v>0</v>
      </c>
      <c r="AU15" s="29" t="e">
        <f t="shared" si="10"/>
        <v>#DIV/0!</v>
      </c>
      <c r="AW15" s="9" t="s">
        <v>18</v>
      </c>
      <c r="AX15" s="9"/>
      <c r="AY15" s="8"/>
      <c r="AZ15" s="7"/>
      <c r="BA15" s="27">
        <f t="shared" si="11"/>
        <v>0</v>
      </c>
      <c r="BB15" s="28">
        <f t="shared" si="12"/>
        <v>0</v>
      </c>
      <c r="BC15" s="29" t="e">
        <f t="shared" si="13"/>
        <v>#DIV/0!</v>
      </c>
      <c r="BE15" s="9" t="s">
        <v>18</v>
      </c>
      <c r="BF15" s="9"/>
      <c r="BG15" s="8"/>
      <c r="BH15" s="7"/>
      <c r="BI15" s="27">
        <f t="shared" si="14"/>
        <v>0</v>
      </c>
      <c r="BJ15" s="28">
        <f t="shared" si="15"/>
        <v>0</v>
      </c>
      <c r="BK15" s="29" t="e">
        <f t="shared" si="16"/>
        <v>#DIV/0!</v>
      </c>
      <c r="BM15" s="9" t="s">
        <v>18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18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18</v>
      </c>
      <c r="CD15" s="9"/>
      <c r="CE15" s="8"/>
      <c r="CF15" s="7"/>
      <c r="CG15" s="27">
        <f t="shared" si="23"/>
        <v>0</v>
      </c>
      <c r="CH15" s="28">
        <f t="shared" si="24"/>
        <v>0</v>
      </c>
      <c r="CI15" s="29" t="e">
        <f t="shared" si="25"/>
        <v>#DIV/0!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S16" s="1">
        <v>4282</v>
      </c>
      <c r="T16" s="35"/>
      <c r="U16" s="10">
        <f t="shared" si="2"/>
        <v>1379</v>
      </c>
      <c r="V16" s="12">
        <f t="shared" si="3"/>
        <v>0</v>
      </c>
      <c r="W16" s="11" t="e">
        <f t="shared" si="4"/>
        <v>#DIV/0!</v>
      </c>
      <c r="Y16" s="14">
        <v>76</v>
      </c>
      <c r="Z16" s="32"/>
      <c r="AB16" s="35"/>
      <c r="AC16" s="10">
        <f t="shared" si="5"/>
        <v>-4282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/>
      <c r="AJ16" s="47"/>
      <c r="AK16" s="10">
        <f t="shared" si="7"/>
        <v>0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19</v>
      </c>
      <c r="AR16" s="35"/>
      <c r="AS16" s="10">
        <f t="shared" si="9"/>
        <v>0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19</v>
      </c>
      <c r="AZ16" s="35"/>
      <c r="BA16" s="10">
        <f t="shared" si="11"/>
        <v>0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0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19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19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0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T17" s="35"/>
      <c r="U17" s="10">
        <f t="shared" si="2"/>
        <v>-6</v>
      </c>
      <c r="V17" s="12">
        <f t="shared" si="3"/>
        <v>0</v>
      </c>
      <c r="W17" s="11" t="e">
        <f t="shared" si="4"/>
        <v>#DIV/0!</v>
      </c>
      <c r="Y17" s="14"/>
      <c r="Z17" s="32"/>
      <c r="AB17" s="35"/>
      <c r="AC17" s="10">
        <f t="shared" si="5"/>
        <v>0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/>
      <c r="AJ17" s="47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/>
      <c r="AP17" s="32" t="s">
        <v>20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/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/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S18" s="10">
        <v>138</v>
      </c>
      <c r="T18" s="12">
        <v>143140.95238040996</v>
      </c>
      <c r="U18" s="10">
        <f t="shared" si="2"/>
        <v>39</v>
      </c>
      <c r="V18" s="12">
        <f t="shared" si="3"/>
        <v>38537.142856969993</v>
      </c>
      <c r="W18" s="11">
        <f t="shared" si="4"/>
        <v>0.3684105104062626</v>
      </c>
      <c r="Y18" s="14"/>
      <c r="Z18" s="13"/>
      <c r="AB18" s="12">
        <v>152445.71428508</v>
      </c>
      <c r="AC18" s="10">
        <f t="shared" si="5"/>
        <v>-138</v>
      </c>
      <c r="AD18" s="12">
        <f t="shared" si="5"/>
        <v>9304.761904670042</v>
      </c>
      <c r="AE18" s="11">
        <f t="shared" si="6"/>
        <v>6.5004191672148437E-2</v>
      </c>
      <c r="AG18" s="14"/>
      <c r="AH18" s="13" t="s">
        <v>9</v>
      </c>
      <c r="AI18" s="13"/>
      <c r="AJ18" s="45"/>
      <c r="AK18" s="10">
        <f t="shared" si="7"/>
        <v>0</v>
      </c>
      <c r="AL18" s="12">
        <f t="shared" si="7"/>
        <v>-152445.71428508</v>
      </c>
      <c r="AM18" s="11">
        <f t="shared" si="8"/>
        <v>-1</v>
      </c>
      <c r="AO18" s="14"/>
      <c r="AP18" s="13" t="s">
        <v>9</v>
      </c>
      <c r="AR18" s="12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13" t="s">
        <v>9</v>
      </c>
      <c r="AZ18" s="12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13" t="s">
        <v>9</v>
      </c>
      <c r="BH18" s="12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S19" s="10">
        <v>149</v>
      </c>
      <c r="T19" s="12">
        <v>165923.80952371002</v>
      </c>
      <c r="U19" s="10">
        <f t="shared" si="2"/>
        <v>16</v>
      </c>
      <c r="V19" s="12">
        <f t="shared" si="3"/>
        <v>13550.476190479996</v>
      </c>
      <c r="W19" s="11">
        <f t="shared" si="4"/>
        <v>8.8929446472408885E-2</v>
      </c>
      <c r="Y19" s="14"/>
      <c r="Z19" s="13"/>
      <c r="AB19" s="12">
        <v>205209.52380940001</v>
      </c>
      <c r="AC19" s="10">
        <f t="shared" si="5"/>
        <v>-149</v>
      </c>
      <c r="AD19" s="12">
        <f t="shared" si="5"/>
        <v>39285.714285689988</v>
      </c>
      <c r="AE19" s="11">
        <f t="shared" si="6"/>
        <v>0.23676960165307787</v>
      </c>
      <c r="AG19" s="14"/>
      <c r="AH19" s="13" t="s">
        <v>8</v>
      </c>
      <c r="AI19" s="13"/>
      <c r="AJ19" s="45"/>
      <c r="AK19" s="10">
        <f t="shared" si="7"/>
        <v>0</v>
      </c>
      <c r="AL19" s="12">
        <f t="shared" si="7"/>
        <v>-205209.52380940001</v>
      </c>
      <c r="AM19" s="11">
        <f t="shared" si="8"/>
        <v>-1</v>
      </c>
      <c r="AO19" s="14"/>
      <c r="AP19" s="13" t="s">
        <v>8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8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8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S20" s="10">
        <v>33</v>
      </c>
      <c r="T20" s="12">
        <v>200758.09523808002</v>
      </c>
      <c r="U20" s="10">
        <f t="shared" si="2"/>
        <v>0</v>
      </c>
      <c r="V20" s="12">
        <f t="shared" si="3"/>
        <v>-40356.190476179967</v>
      </c>
      <c r="W20" s="11">
        <f t="shared" si="4"/>
        <v>-0.16737370146539277</v>
      </c>
      <c r="Y20" s="14"/>
      <c r="Z20" s="13"/>
      <c r="AB20" s="12">
        <v>269276.19047617004</v>
      </c>
      <c r="AC20" s="10">
        <f t="shared" si="5"/>
        <v>-33</v>
      </c>
      <c r="AD20" s="12">
        <f t="shared" si="5"/>
        <v>68518.095238090027</v>
      </c>
      <c r="AE20" s="11">
        <f t="shared" si="6"/>
        <v>0.34129679880073616</v>
      </c>
      <c r="AG20" s="14"/>
      <c r="AH20" s="13" t="s">
        <v>7</v>
      </c>
      <c r="AI20" s="13"/>
      <c r="AJ20" s="45"/>
      <c r="AK20" s="10">
        <f t="shared" si="7"/>
        <v>0</v>
      </c>
      <c r="AL20" s="12">
        <f t="shared" si="7"/>
        <v>-269276.19047617004</v>
      </c>
      <c r="AM20" s="11">
        <f t="shared" si="8"/>
        <v>-1</v>
      </c>
      <c r="AO20" s="14"/>
      <c r="AP20" s="13" t="s">
        <v>7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7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7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S21" s="10">
        <v>30</v>
      </c>
      <c r="T21" s="12">
        <v>344761.90476185002</v>
      </c>
      <c r="U21" s="10">
        <f t="shared" si="2"/>
        <v>9</v>
      </c>
      <c r="V21" s="12">
        <f t="shared" si="3"/>
        <v>82571.428571439988</v>
      </c>
      <c r="W21" s="11">
        <f t="shared" si="4"/>
        <v>0.3149291681802901</v>
      </c>
      <c r="Y21" s="14"/>
      <c r="Z21" s="13"/>
      <c r="AB21" s="12">
        <v>479142.85714278999</v>
      </c>
      <c r="AC21" s="10">
        <f t="shared" si="5"/>
        <v>-30</v>
      </c>
      <c r="AD21" s="12">
        <f t="shared" si="5"/>
        <v>134380.95238093997</v>
      </c>
      <c r="AE21" s="11">
        <f t="shared" si="6"/>
        <v>0.38977900552488776</v>
      </c>
      <c r="AG21" s="14"/>
      <c r="AH21" s="13" t="s">
        <v>6</v>
      </c>
      <c r="AI21" s="13"/>
      <c r="AJ21" s="45"/>
      <c r="AK21" s="10">
        <f t="shared" si="7"/>
        <v>0</v>
      </c>
      <c r="AL21" s="12">
        <f t="shared" si="7"/>
        <v>-479142.85714278999</v>
      </c>
      <c r="AM21" s="11">
        <f t="shared" si="8"/>
        <v>-1</v>
      </c>
      <c r="AO21" s="14"/>
      <c r="AP21" s="13" t="s">
        <v>6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6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6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S22" s="10">
        <v>23</v>
      </c>
      <c r="T22" s="12">
        <v>72780</v>
      </c>
      <c r="U22" s="10">
        <f t="shared" si="2"/>
        <v>7</v>
      </c>
      <c r="V22" s="12">
        <f t="shared" si="3"/>
        <v>29260</v>
      </c>
      <c r="W22" s="11">
        <f t="shared" si="4"/>
        <v>0.67233455882352944</v>
      </c>
      <c r="Y22" s="14"/>
      <c r="Z22" s="13"/>
      <c r="AB22" s="12">
        <v>59080</v>
      </c>
      <c r="AC22" s="10">
        <f t="shared" si="5"/>
        <v>-23</v>
      </c>
      <c r="AD22" s="12">
        <f t="shared" si="5"/>
        <v>-13700</v>
      </c>
      <c r="AE22" s="11">
        <f t="shared" si="6"/>
        <v>-0.18823852706787578</v>
      </c>
      <c r="AG22" s="14"/>
      <c r="AH22" s="13" t="s">
        <v>5</v>
      </c>
      <c r="AI22" s="13"/>
      <c r="AJ22" s="45"/>
      <c r="AK22" s="10">
        <f t="shared" si="7"/>
        <v>0</v>
      </c>
      <c r="AL22" s="12">
        <f t="shared" si="7"/>
        <v>-59080</v>
      </c>
      <c r="AM22" s="11">
        <f t="shared" si="8"/>
        <v>-1</v>
      </c>
      <c r="AO22" s="14"/>
      <c r="AP22" s="13" t="s">
        <v>5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5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5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S23" s="10">
        <v>15</v>
      </c>
      <c r="T23" s="12">
        <v>637985.71428566996</v>
      </c>
      <c r="U23" s="10">
        <f t="shared" si="2"/>
        <v>2</v>
      </c>
      <c r="V23" s="12">
        <f t="shared" si="3"/>
        <v>93723.809523829957</v>
      </c>
      <c r="W23" s="11">
        <f t="shared" si="4"/>
        <v>0.17220350846499527</v>
      </c>
      <c r="Y23" s="14"/>
      <c r="Z23" s="13"/>
      <c r="AB23" s="12">
        <v>974552.38095230004</v>
      </c>
      <c r="AC23" s="10">
        <f t="shared" si="5"/>
        <v>-15</v>
      </c>
      <c r="AD23" s="12">
        <f t="shared" si="5"/>
        <v>336566.66666663007</v>
      </c>
      <c r="AE23" s="11">
        <f t="shared" si="6"/>
        <v>0.52754577278187464</v>
      </c>
      <c r="AG23" s="14"/>
      <c r="AH23" s="13" t="s">
        <v>4</v>
      </c>
      <c r="AI23" s="13"/>
      <c r="AJ23" s="45"/>
      <c r="AK23" s="10">
        <f t="shared" si="7"/>
        <v>0</v>
      </c>
      <c r="AL23" s="12">
        <f t="shared" si="7"/>
        <v>-974552.38095230004</v>
      </c>
      <c r="AM23" s="11">
        <f t="shared" si="8"/>
        <v>-1</v>
      </c>
      <c r="AO23" s="14"/>
      <c r="AP23" s="13" t="s">
        <v>4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4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4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S24" s="10">
        <v>22</v>
      </c>
      <c r="T24" s="12">
        <v>554285.71428562002</v>
      </c>
      <c r="U24" s="10">
        <f t="shared" si="2"/>
        <v>6</v>
      </c>
      <c r="V24" s="12">
        <f t="shared" si="3"/>
        <v>172380.95238093002</v>
      </c>
      <c r="W24" s="11">
        <f t="shared" si="4"/>
        <v>0.4513715710723456</v>
      </c>
      <c r="Y24" s="14"/>
      <c r="Z24" s="13"/>
      <c r="AB24" s="12">
        <v>385999.99999995006</v>
      </c>
      <c r="AC24" s="10">
        <f t="shared" si="5"/>
        <v>-22</v>
      </c>
      <c r="AD24" s="12">
        <f t="shared" si="5"/>
        <v>-168285.71428566996</v>
      </c>
      <c r="AE24" s="11">
        <f t="shared" si="6"/>
        <v>-0.30360824742265208</v>
      </c>
      <c r="AG24" s="14"/>
      <c r="AH24" s="13" t="s">
        <v>3</v>
      </c>
      <c r="AI24" s="13"/>
      <c r="AJ24" s="45"/>
      <c r="AK24" s="10">
        <f t="shared" si="7"/>
        <v>0</v>
      </c>
      <c r="AL24" s="12">
        <f t="shared" si="7"/>
        <v>-385999.99999995006</v>
      </c>
      <c r="AM24" s="11">
        <f t="shared" si="8"/>
        <v>-1</v>
      </c>
      <c r="AO24" s="14"/>
      <c r="AP24" s="13" t="s">
        <v>3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3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3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S25" s="10">
        <v>43</v>
      </c>
      <c r="T25" s="12">
        <v>1493999.99999996</v>
      </c>
      <c r="U25" s="10">
        <f t="shared" si="2"/>
        <v>15</v>
      </c>
      <c r="V25" s="12">
        <f t="shared" si="3"/>
        <v>514761.90476189007</v>
      </c>
      <c r="W25" s="11">
        <f t="shared" si="4"/>
        <v>0.52567593853335792</v>
      </c>
      <c r="Y25" s="14"/>
      <c r="Z25" s="13"/>
      <c r="AB25" s="12">
        <v>2358857.1428570701</v>
      </c>
      <c r="AC25" s="10">
        <f t="shared" si="5"/>
        <v>-43</v>
      </c>
      <c r="AD25" s="12">
        <f t="shared" si="5"/>
        <v>864857.14285711013</v>
      </c>
      <c r="AE25" s="11">
        <f t="shared" si="6"/>
        <v>0.57888697647733156</v>
      </c>
      <c r="AG25" s="14"/>
      <c r="AH25" s="13" t="s">
        <v>2</v>
      </c>
      <c r="AI25" s="13"/>
      <c r="AJ25" s="45"/>
      <c r="AK25" s="10">
        <f t="shared" si="7"/>
        <v>0</v>
      </c>
      <c r="AL25" s="12">
        <f t="shared" si="7"/>
        <v>-2358857.1428570701</v>
      </c>
      <c r="AM25" s="11">
        <f t="shared" si="8"/>
        <v>-1</v>
      </c>
      <c r="AO25" s="14"/>
      <c r="AP25" s="13" t="s">
        <v>2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2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2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>
        <v>453</v>
      </c>
      <c r="T26" s="7">
        <v>3613636.1904753</v>
      </c>
      <c r="U26" s="27">
        <f t="shared" si="2"/>
        <v>94</v>
      </c>
      <c r="V26" s="28">
        <f t="shared" si="3"/>
        <v>904429.52380935987</v>
      </c>
      <c r="W26" s="29">
        <f t="shared" si="4"/>
        <v>0.33383555966307571</v>
      </c>
      <c r="Y26" s="9" t="s">
        <v>12</v>
      </c>
      <c r="Z26" s="9"/>
      <c r="AA26" s="8"/>
      <c r="AB26" s="7">
        <v>4884563.809522761</v>
      </c>
      <c r="AC26" s="27">
        <f t="shared" si="5"/>
        <v>-453</v>
      </c>
      <c r="AD26" s="28">
        <f t="shared" si="5"/>
        <v>1270927.6190474611</v>
      </c>
      <c r="AE26" s="29">
        <f t="shared" si="6"/>
        <v>0.35170325734431407</v>
      </c>
      <c r="AG26" s="9" t="s">
        <v>12</v>
      </c>
      <c r="AH26" s="9"/>
      <c r="AI26" s="9"/>
      <c r="AJ26" s="46"/>
      <c r="AK26" s="27">
        <f t="shared" si="7"/>
        <v>0</v>
      </c>
      <c r="AL26" s="28">
        <f t="shared" si="7"/>
        <v>-4884563.809522761</v>
      </c>
      <c r="AM26" s="29">
        <f t="shared" si="8"/>
        <v>-1</v>
      </c>
      <c r="AO26" s="9" t="s">
        <v>12</v>
      </c>
      <c r="AP26" s="9"/>
      <c r="AQ26" s="8"/>
      <c r="AR26" s="7"/>
      <c r="AS26" s="27">
        <f t="shared" si="9"/>
        <v>0</v>
      </c>
      <c r="AT26" s="28">
        <f t="shared" si="9"/>
        <v>0</v>
      </c>
      <c r="AU26" s="29" t="e">
        <f t="shared" si="10"/>
        <v>#DIV/0!</v>
      </c>
      <c r="AW26" s="9" t="s">
        <v>12</v>
      </c>
      <c r="AX26" s="9"/>
      <c r="AY26" s="8"/>
      <c r="AZ26" s="7"/>
      <c r="BA26" s="27">
        <f t="shared" si="11"/>
        <v>0</v>
      </c>
      <c r="BB26" s="28">
        <f t="shared" si="12"/>
        <v>0</v>
      </c>
      <c r="BC26" s="29" t="e">
        <f t="shared" si="13"/>
        <v>#DIV/0!</v>
      </c>
      <c r="BE26" s="9" t="s">
        <v>12</v>
      </c>
      <c r="BF26" s="9"/>
      <c r="BG26" s="8"/>
      <c r="BH26" s="7"/>
      <c r="BI26" s="27">
        <f t="shared" si="14"/>
        <v>0</v>
      </c>
      <c r="BJ26" s="28">
        <f t="shared" si="15"/>
        <v>0</v>
      </c>
      <c r="BK26" s="29" t="e">
        <f t="shared" si="16"/>
        <v>#DIV/0!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f t="shared" si="23"/>
        <v>0</v>
      </c>
      <c r="CH26" s="28">
        <f t="shared" si="24"/>
        <v>0</v>
      </c>
      <c r="CI26" s="29" t="e">
        <f t="shared" si="25"/>
        <v>#DIV/0!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S27" s="1">
        <v>3621</v>
      </c>
      <c r="T27" s="35"/>
      <c r="U27" s="10">
        <f t="shared" si="2"/>
        <v>1310</v>
      </c>
      <c r="V27" s="12">
        <f t="shared" si="3"/>
        <v>0</v>
      </c>
      <c r="W27" s="11" t="e">
        <f t="shared" si="4"/>
        <v>#DIV/0!</v>
      </c>
      <c r="Y27" s="14">
        <v>77</v>
      </c>
      <c r="Z27" s="32"/>
      <c r="AB27" s="35"/>
      <c r="AC27" s="10">
        <f t="shared" si="5"/>
        <v>-3621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/>
      <c r="AJ27" s="47"/>
      <c r="AK27" s="10">
        <f t="shared" si="7"/>
        <v>0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19</v>
      </c>
      <c r="AR27" s="35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19</v>
      </c>
      <c r="AZ27" s="35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19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19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T28" s="35"/>
      <c r="U28" s="10">
        <f t="shared" si="2"/>
        <v>-1</v>
      </c>
      <c r="V28" s="12">
        <f t="shared" si="3"/>
        <v>0</v>
      </c>
      <c r="W28" s="11" t="e">
        <f t="shared" si="4"/>
        <v>#DIV/0!</v>
      </c>
      <c r="Y28" s="14"/>
      <c r="Z28" s="32"/>
      <c r="AB28" s="35"/>
      <c r="AC28" s="10">
        <f t="shared" si="5"/>
        <v>0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/>
      <c r="AJ28" s="47"/>
      <c r="AK28" s="10">
        <f t="shared" si="7"/>
        <v>0</v>
      </c>
      <c r="AL28" s="12">
        <f t="shared" si="7"/>
        <v>0</v>
      </c>
      <c r="AM28" s="11" t="e">
        <f t="shared" si="8"/>
        <v>#DIV/0!</v>
      </c>
      <c r="AO28" s="14"/>
      <c r="AP28" s="32" t="s">
        <v>20</v>
      </c>
      <c r="AR28" s="35"/>
      <c r="AS28" s="10">
        <f t="shared" si="9"/>
        <v>0</v>
      </c>
      <c r="AT28" s="12">
        <f t="shared" si="9"/>
        <v>0</v>
      </c>
      <c r="AU28" s="11" t="e">
        <f t="shared" si="10"/>
        <v>#DIV/0!</v>
      </c>
      <c r="AW28" s="14"/>
      <c r="AX28" s="32" t="s">
        <v>20</v>
      </c>
      <c r="AZ28" s="35"/>
      <c r="BA28" s="10">
        <f t="shared" si="11"/>
        <v>0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0</v>
      </c>
      <c r="BJ28" s="12">
        <f t="shared" si="15"/>
        <v>0</v>
      </c>
      <c r="BK28" s="11" t="e">
        <f t="shared" si="16"/>
        <v>#DIV/0!</v>
      </c>
      <c r="BM28" s="14"/>
      <c r="BN28" s="32" t="s">
        <v>20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20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0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S29" s="10">
        <v>103</v>
      </c>
      <c r="T29" s="12">
        <v>95442.857142479974</v>
      </c>
      <c r="U29" s="10">
        <f t="shared" si="2"/>
        <v>40</v>
      </c>
      <c r="V29" s="12">
        <f t="shared" si="3"/>
        <v>20841.904761809958</v>
      </c>
      <c r="W29" s="11">
        <f t="shared" si="4"/>
        <v>0.27937853467954304</v>
      </c>
      <c r="Y29" s="14"/>
      <c r="Z29" s="13"/>
      <c r="AB29" s="12">
        <v>92987.619047320011</v>
      </c>
      <c r="AC29" s="10">
        <f t="shared" si="5"/>
        <v>-103</v>
      </c>
      <c r="AD29" s="12">
        <f t="shared" si="5"/>
        <v>-2455.2380951599625</v>
      </c>
      <c r="AE29" s="11">
        <f t="shared" si="6"/>
        <v>-2.5724691911671389E-2</v>
      </c>
      <c r="AG29" s="14"/>
      <c r="AH29" s="13" t="s">
        <v>9</v>
      </c>
      <c r="AI29" s="13"/>
      <c r="AJ29" s="45"/>
      <c r="AK29" s="10">
        <f t="shared" si="7"/>
        <v>0</v>
      </c>
      <c r="AL29" s="12">
        <f t="shared" si="7"/>
        <v>-92987.619047320011</v>
      </c>
      <c r="AM29" s="11">
        <f t="shared" si="8"/>
        <v>-1</v>
      </c>
      <c r="AO29" s="14"/>
      <c r="AP29" s="13" t="s">
        <v>9</v>
      </c>
      <c r="AR29" s="12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/>
      <c r="AX29" s="13" t="s">
        <v>9</v>
      </c>
      <c r="AZ29" s="12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/>
      <c r="BF29" s="13" t="s">
        <v>9</v>
      </c>
      <c r="BH29" s="12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S30" s="10">
        <v>76</v>
      </c>
      <c r="T30" s="12">
        <v>58361.904761790014</v>
      </c>
      <c r="U30" s="10">
        <f t="shared" si="2"/>
        <v>32</v>
      </c>
      <c r="V30" s="12">
        <f t="shared" si="3"/>
        <v>18495.238095180008</v>
      </c>
      <c r="W30" s="11">
        <f t="shared" si="4"/>
        <v>0.46392737697005754</v>
      </c>
      <c r="Y30" s="14"/>
      <c r="Z30" s="13"/>
      <c r="AB30" s="12">
        <v>37430.476190390007</v>
      </c>
      <c r="AC30" s="10">
        <f t="shared" si="5"/>
        <v>-76</v>
      </c>
      <c r="AD30" s="12">
        <f t="shared" si="5"/>
        <v>-20931.428571400007</v>
      </c>
      <c r="AE30" s="11">
        <f t="shared" si="6"/>
        <v>-0.3586488250654899</v>
      </c>
      <c r="AG30" s="14"/>
      <c r="AH30" s="13" t="s">
        <v>8</v>
      </c>
      <c r="AI30" s="13"/>
      <c r="AJ30" s="45"/>
      <c r="AK30" s="10">
        <f t="shared" si="7"/>
        <v>0</v>
      </c>
      <c r="AL30" s="12">
        <f t="shared" si="7"/>
        <v>-37430.476190390007</v>
      </c>
      <c r="AM30" s="11">
        <f t="shared" si="8"/>
        <v>-1</v>
      </c>
      <c r="AO30" s="14"/>
      <c r="AP30" s="13" t="s">
        <v>8</v>
      </c>
      <c r="AR30" s="12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13" t="s">
        <v>8</v>
      </c>
      <c r="AZ30" s="12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13" t="s">
        <v>8</v>
      </c>
      <c r="BH30" s="12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S31" s="10">
        <v>9</v>
      </c>
      <c r="T31" s="12">
        <v>67773.333333319999</v>
      </c>
      <c r="U31" s="10">
        <f t="shared" si="2"/>
        <v>-6</v>
      </c>
      <c r="V31" s="12">
        <f t="shared" si="3"/>
        <v>-29226.666666669989</v>
      </c>
      <c r="W31" s="11">
        <f t="shared" si="4"/>
        <v>-0.30130584192446397</v>
      </c>
      <c r="Y31" s="14"/>
      <c r="Z31" s="13"/>
      <c r="AB31" s="12">
        <v>74076.190476179996</v>
      </c>
      <c r="AC31" s="10">
        <f t="shared" si="5"/>
        <v>-9</v>
      </c>
      <c r="AD31" s="12">
        <f t="shared" si="5"/>
        <v>6302.8571428599971</v>
      </c>
      <c r="AE31" s="11">
        <f t="shared" si="6"/>
        <v>9.2999072538774888E-2</v>
      </c>
      <c r="AG31" s="14"/>
      <c r="AH31" s="13" t="s">
        <v>7</v>
      </c>
      <c r="AI31" s="13"/>
      <c r="AJ31" s="45"/>
      <c r="AK31" s="10">
        <f t="shared" si="7"/>
        <v>0</v>
      </c>
      <c r="AL31" s="12">
        <f t="shared" si="7"/>
        <v>-74076.190476179996</v>
      </c>
      <c r="AM31" s="11">
        <f t="shared" si="8"/>
        <v>-1</v>
      </c>
      <c r="AO31" s="14"/>
      <c r="AP31" s="13" t="s">
        <v>7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7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7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S32" s="10">
        <v>8</v>
      </c>
      <c r="T32" s="12">
        <v>82761.904761879996</v>
      </c>
      <c r="U32" s="10">
        <f t="shared" si="2"/>
        <v>-1</v>
      </c>
      <c r="V32" s="12">
        <f t="shared" si="3"/>
        <v>-27809.523809520004</v>
      </c>
      <c r="W32" s="11">
        <f t="shared" si="4"/>
        <v>-0.25150732127479369</v>
      </c>
      <c r="Y32" s="14"/>
      <c r="Z32" s="13"/>
      <c r="AB32" s="12">
        <v>142666.66666663002</v>
      </c>
      <c r="AC32" s="10">
        <f t="shared" si="5"/>
        <v>-8</v>
      </c>
      <c r="AD32" s="12">
        <f t="shared" si="5"/>
        <v>59904.761904750019</v>
      </c>
      <c r="AE32" s="11">
        <f t="shared" si="6"/>
        <v>0.72382048331422721</v>
      </c>
      <c r="AG32" s="14"/>
      <c r="AH32" s="13" t="s">
        <v>6</v>
      </c>
      <c r="AI32" s="13"/>
      <c r="AJ32" s="45"/>
      <c r="AK32" s="10">
        <f t="shared" si="7"/>
        <v>0</v>
      </c>
      <c r="AL32" s="12">
        <f t="shared" si="7"/>
        <v>-142666.66666663002</v>
      </c>
      <c r="AM32" s="11">
        <f t="shared" si="8"/>
        <v>-1</v>
      </c>
      <c r="AO32" s="14"/>
      <c r="AP32" s="13" t="s">
        <v>6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6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6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S33" s="10">
        <v>3</v>
      </c>
      <c r="T33" s="12">
        <v>13970</v>
      </c>
      <c r="U33" s="10">
        <f t="shared" si="2"/>
        <v>1</v>
      </c>
      <c r="V33" s="12">
        <f t="shared" si="3"/>
        <v>10090</v>
      </c>
      <c r="W33" s="11">
        <f t="shared" si="4"/>
        <v>2.6005154639175259</v>
      </c>
      <c r="Y33" s="14"/>
      <c r="Z33" s="13"/>
      <c r="AB33" s="12">
        <v>2857.1428571400002</v>
      </c>
      <c r="AC33" s="10">
        <f t="shared" si="5"/>
        <v>-3</v>
      </c>
      <c r="AD33" s="12">
        <f t="shared" si="5"/>
        <v>-11112.857142860001</v>
      </c>
      <c r="AE33" s="11">
        <f t="shared" si="6"/>
        <v>-0.79548011044094491</v>
      </c>
      <c r="AG33" s="14"/>
      <c r="AH33" s="13" t="s">
        <v>5</v>
      </c>
      <c r="AI33" s="13"/>
      <c r="AJ33" s="45"/>
      <c r="AK33" s="10">
        <f t="shared" si="7"/>
        <v>0</v>
      </c>
      <c r="AL33" s="12">
        <f t="shared" si="7"/>
        <v>-2857.1428571400002</v>
      </c>
      <c r="AM33" s="11">
        <f t="shared" si="8"/>
        <v>-1</v>
      </c>
      <c r="AO33" s="14"/>
      <c r="AP33" s="13" t="s">
        <v>5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S34" s="10">
        <v>6</v>
      </c>
      <c r="T34" s="12">
        <v>195185.71428568999</v>
      </c>
      <c r="U34" s="10">
        <f t="shared" si="2"/>
        <v>-1</v>
      </c>
      <c r="V34" s="12">
        <f t="shared" si="3"/>
        <v>-3195.2380952400272</v>
      </c>
      <c r="W34" s="11">
        <f t="shared" si="4"/>
        <v>-1.6106577052339928E-2</v>
      </c>
      <c r="Y34" s="14"/>
      <c r="Z34" s="13"/>
      <c r="AB34" s="12">
        <v>19650</v>
      </c>
      <c r="AC34" s="10">
        <f t="shared" si="5"/>
        <v>-6</v>
      </c>
      <c r="AD34" s="12">
        <f t="shared" si="5"/>
        <v>-175535.71428568999</v>
      </c>
      <c r="AE34" s="11">
        <f t="shared" si="6"/>
        <v>-0.89932664861303002</v>
      </c>
      <c r="AG34" s="14"/>
      <c r="AH34" s="13" t="s">
        <v>4</v>
      </c>
      <c r="AI34" s="13"/>
      <c r="AJ34" s="45"/>
      <c r="AK34" s="10">
        <f t="shared" si="7"/>
        <v>0</v>
      </c>
      <c r="AL34" s="12">
        <f t="shared" si="7"/>
        <v>-19650</v>
      </c>
      <c r="AM34" s="11">
        <f t="shared" si="8"/>
        <v>-1</v>
      </c>
      <c r="AO34" s="14"/>
      <c r="AP34" s="13" t="s">
        <v>4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4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4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32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S35" s="10">
        <v>3</v>
      </c>
      <c r="T35" s="12">
        <v>64952.380952359992</v>
      </c>
      <c r="U35" s="10">
        <f t="shared" si="2"/>
        <v>-2</v>
      </c>
      <c r="V35" s="12">
        <f t="shared" si="3"/>
        <v>-51238.095238089998</v>
      </c>
      <c r="W35" s="11">
        <f t="shared" si="4"/>
        <v>-0.44098360655743141</v>
      </c>
      <c r="Y35" s="14"/>
      <c r="Z35" s="13"/>
      <c r="AB35" s="12">
        <v>154952.38095235999</v>
      </c>
      <c r="AC35" s="10">
        <f t="shared" si="5"/>
        <v>-3</v>
      </c>
      <c r="AD35" s="12">
        <f t="shared" si="5"/>
        <v>90000</v>
      </c>
      <c r="AE35" s="11">
        <f t="shared" si="6"/>
        <v>1.3856304985341714</v>
      </c>
      <c r="AG35" s="14"/>
      <c r="AH35" s="13" t="s">
        <v>3</v>
      </c>
      <c r="AI35" s="13"/>
      <c r="AJ35" s="45"/>
      <c r="AK35" s="10">
        <f t="shared" si="7"/>
        <v>0</v>
      </c>
      <c r="AL35" s="12">
        <f t="shared" si="7"/>
        <v>-154952.38095235999</v>
      </c>
      <c r="AM35" s="11">
        <f t="shared" si="8"/>
        <v>-1</v>
      </c>
      <c r="AO35" s="14"/>
      <c r="AP35" s="13" t="s">
        <v>3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3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3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32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S36" s="10">
        <v>20</v>
      </c>
      <c r="T36" s="12">
        <v>598095.23809520993</v>
      </c>
      <c r="U36" s="10">
        <f t="shared" si="2"/>
        <v>7</v>
      </c>
      <c r="V36" s="12">
        <f t="shared" si="3"/>
        <v>181238.09523807996</v>
      </c>
      <c r="W36" s="11">
        <f t="shared" si="4"/>
        <v>0.43477267534838893</v>
      </c>
      <c r="Y36" s="14"/>
      <c r="Z36" s="13"/>
      <c r="AB36" s="12">
        <v>236571.42857142002</v>
      </c>
      <c r="AC36" s="10">
        <f t="shared" si="5"/>
        <v>-20</v>
      </c>
      <c r="AD36" s="12">
        <f t="shared" si="5"/>
        <v>-361523.80952378991</v>
      </c>
      <c r="AE36" s="11">
        <f t="shared" si="6"/>
        <v>-0.6044585987261103</v>
      </c>
      <c r="AG36" s="14"/>
      <c r="AH36" s="13" t="s">
        <v>2</v>
      </c>
      <c r="AI36" s="13"/>
      <c r="AJ36" s="45"/>
      <c r="AK36" s="10">
        <f t="shared" si="7"/>
        <v>0</v>
      </c>
      <c r="AL36" s="12">
        <f t="shared" si="7"/>
        <v>-236571.42857142002</v>
      </c>
      <c r="AM36" s="11">
        <f t="shared" si="8"/>
        <v>-1</v>
      </c>
      <c r="AO36" s="14"/>
      <c r="AP36" s="13" t="s">
        <v>2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2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2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32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>
        <v>228</v>
      </c>
      <c r="T37" s="7">
        <v>1176543.33333273</v>
      </c>
      <c r="U37" s="27">
        <f t="shared" si="2"/>
        <v>70</v>
      </c>
      <c r="V37" s="28">
        <f t="shared" si="3"/>
        <v>119195.71428554994</v>
      </c>
      <c r="W37" s="29">
        <f t="shared" si="4"/>
        <v>0.11273086744448543</v>
      </c>
      <c r="Y37" s="9" t="s">
        <v>11</v>
      </c>
      <c r="Z37" s="9"/>
      <c r="AA37" s="8"/>
      <c r="AB37" s="7">
        <v>761191.90476144012</v>
      </c>
      <c r="AC37" s="27">
        <f t="shared" si="5"/>
        <v>-228</v>
      </c>
      <c r="AD37" s="28">
        <f t="shared" si="5"/>
        <v>-415351.42857128987</v>
      </c>
      <c r="AE37" s="29">
        <f t="shared" si="6"/>
        <v>-0.35302688545669336</v>
      </c>
      <c r="AG37" s="9" t="s">
        <v>11</v>
      </c>
      <c r="AH37" s="9"/>
      <c r="AI37" s="9"/>
      <c r="AJ37" s="46"/>
      <c r="AK37" s="27">
        <f t="shared" si="7"/>
        <v>0</v>
      </c>
      <c r="AL37" s="28">
        <f t="shared" si="7"/>
        <v>-761191.90476144012</v>
      </c>
      <c r="AM37" s="29">
        <f t="shared" si="8"/>
        <v>-1</v>
      </c>
      <c r="AO37" s="9" t="s">
        <v>11</v>
      </c>
      <c r="AP37" s="9"/>
      <c r="AQ37" s="8"/>
      <c r="AR37" s="7"/>
      <c r="AS37" s="27">
        <f t="shared" si="9"/>
        <v>0</v>
      </c>
      <c r="AT37" s="28">
        <f t="shared" si="9"/>
        <v>0</v>
      </c>
      <c r="AU37" s="29" t="e">
        <f t="shared" si="10"/>
        <v>#DIV/0!</v>
      </c>
      <c r="AW37" s="9" t="s">
        <v>11</v>
      </c>
      <c r="AX37" s="9"/>
      <c r="AY37" s="8"/>
      <c r="AZ37" s="7"/>
      <c r="BA37" s="27">
        <f t="shared" si="11"/>
        <v>0</v>
      </c>
      <c r="BB37" s="28">
        <f t="shared" si="12"/>
        <v>0</v>
      </c>
      <c r="BC37" s="29" t="e">
        <f t="shared" si="13"/>
        <v>#DIV/0!</v>
      </c>
      <c r="BE37" s="9" t="s">
        <v>11</v>
      </c>
      <c r="BF37" s="9"/>
      <c r="BG37" s="8"/>
      <c r="BH37" s="7"/>
      <c r="BI37" s="27">
        <f t="shared" si="14"/>
        <v>0</v>
      </c>
      <c r="BJ37" s="28">
        <f t="shared" si="15"/>
        <v>0</v>
      </c>
      <c r="BK37" s="29" t="e">
        <f t="shared" si="16"/>
        <v>#DIV/0!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32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f t="shared" si="23"/>
        <v>0</v>
      </c>
      <c r="CH37" s="28">
        <f t="shared" si="24"/>
        <v>0</v>
      </c>
      <c r="CI37" s="29" t="e">
        <f t="shared" si="25"/>
        <v>#DIV/0!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S38" s="1">
        <v>1836</v>
      </c>
      <c r="T38" s="35"/>
      <c r="U38" s="10">
        <f t="shared" si="2"/>
        <v>565</v>
      </c>
      <c r="V38" s="12">
        <f t="shared" si="3"/>
        <v>0</v>
      </c>
      <c r="W38" s="11" t="e">
        <f t="shared" si="4"/>
        <v>#DIV/0!</v>
      </c>
      <c r="Y38" s="14">
        <v>81</v>
      </c>
      <c r="Z38" s="32"/>
      <c r="AB38" s="35"/>
      <c r="AC38" s="10">
        <f t="shared" si="5"/>
        <v>-1836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/>
      <c r="AJ38" s="47"/>
      <c r="AK38" s="10">
        <f t="shared" si="7"/>
        <v>0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19</v>
      </c>
      <c r="AR38" s="35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19</v>
      </c>
      <c r="AZ38" s="35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19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19</v>
      </c>
      <c r="BW38" s="15"/>
      <c r="BX38" s="33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T39" s="35"/>
      <c r="U39" s="10">
        <f t="shared" si="2"/>
        <v>-1</v>
      </c>
      <c r="V39" s="12">
        <f t="shared" si="3"/>
        <v>0</v>
      </c>
      <c r="W39" s="11" t="e">
        <f t="shared" si="4"/>
        <v>#DIV/0!</v>
      </c>
      <c r="Y39" s="14"/>
      <c r="Z39" s="32"/>
      <c r="AB39" s="35"/>
      <c r="AC39" s="10">
        <f t="shared" si="5"/>
        <v>0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/>
      <c r="AJ39" s="47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32" t="s">
        <v>20</v>
      </c>
      <c r="AR39" s="35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32" t="s">
        <v>20</v>
      </c>
      <c r="AZ39" s="35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32" t="s">
        <v>20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20</v>
      </c>
      <c r="BW39" s="15"/>
      <c r="BX39" s="33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S40" s="10">
        <v>97</v>
      </c>
      <c r="T40" s="12">
        <v>114887.61904714999</v>
      </c>
      <c r="U40" s="10">
        <f t="shared" si="2"/>
        <v>28</v>
      </c>
      <c r="V40" s="12">
        <f t="shared" si="3"/>
        <v>51912.380952289983</v>
      </c>
      <c r="W40" s="11">
        <f t="shared" si="4"/>
        <v>0.82433004658265896</v>
      </c>
      <c r="Y40" s="14"/>
      <c r="Z40" s="13"/>
      <c r="AB40" s="12">
        <v>64970.47619015001</v>
      </c>
      <c r="AC40" s="10">
        <f t="shared" si="5"/>
        <v>-97</v>
      </c>
      <c r="AD40" s="12">
        <f t="shared" si="5"/>
        <v>-49917.142856999977</v>
      </c>
      <c r="AE40" s="11">
        <f t="shared" si="6"/>
        <v>-0.43448670336282219</v>
      </c>
      <c r="AG40" s="14"/>
      <c r="AH40" s="13" t="s">
        <v>9</v>
      </c>
      <c r="AI40" s="13"/>
      <c r="AJ40" s="45"/>
      <c r="AK40" s="10">
        <f t="shared" si="7"/>
        <v>0</v>
      </c>
      <c r="AL40" s="12">
        <f t="shared" si="7"/>
        <v>-64970.47619015001</v>
      </c>
      <c r="AM40" s="11">
        <f t="shared" si="8"/>
        <v>-1</v>
      </c>
      <c r="AO40" s="14"/>
      <c r="AP40" s="13" t="s">
        <v>9</v>
      </c>
      <c r="AR40" s="12"/>
      <c r="AS40" s="10">
        <f t="shared" si="9"/>
        <v>0</v>
      </c>
      <c r="AT40" s="12">
        <f t="shared" si="9"/>
        <v>0</v>
      </c>
      <c r="AU40" s="11" t="e">
        <f t="shared" si="10"/>
        <v>#DIV/0!</v>
      </c>
      <c r="AW40" s="14"/>
      <c r="AX40" s="13" t="s">
        <v>9</v>
      </c>
      <c r="AZ40" s="12"/>
      <c r="BA40" s="10">
        <f t="shared" si="11"/>
        <v>0</v>
      </c>
      <c r="BB40" s="12">
        <f t="shared" si="12"/>
        <v>0</v>
      </c>
      <c r="BC40" s="11" t="e">
        <f t="shared" si="13"/>
        <v>#DIV/0!</v>
      </c>
      <c r="BE40" s="14"/>
      <c r="BF40" s="13" t="s">
        <v>9</v>
      </c>
      <c r="BH40" s="12"/>
      <c r="BI40" s="10">
        <f t="shared" si="14"/>
        <v>0</v>
      </c>
      <c r="BJ40" s="12">
        <f t="shared" si="15"/>
        <v>0</v>
      </c>
      <c r="BK40" s="11" t="e">
        <f t="shared" si="16"/>
        <v>#DIV/0!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32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f t="shared" si="23"/>
        <v>0</v>
      </c>
      <c r="CH40" s="12">
        <f t="shared" si="24"/>
        <v>0</v>
      </c>
      <c r="CI40" s="11" t="e">
        <f t="shared" si="25"/>
        <v>#DIV/0!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S41" s="10">
        <v>85</v>
      </c>
      <c r="T41" s="12">
        <v>77676.190476110016</v>
      </c>
      <c r="U41" s="10">
        <f t="shared" si="2"/>
        <v>14</v>
      </c>
      <c r="V41" s="12">
        <f t="shared" si="3"/>
        <v>18628.571428590003</v>
      </c>
      <c r="W41" s="11">
        <f t="shared" si="4"/>
        <v>0.31548387096858566</v>
      </c>
      <c r="Y41" s="14"/>
      <c r="Z41" s="13"/>
      <c r="AB41" s="12">
        <v>83323.809523720003</v>
      </c>
      <c r="AC41" s="10">
        <f t="shared" si="5"/>
        <v>-85</v>
      </c>
      <c r="AD41" s="12">
        <f t="shared" si="5"/>
        <v>5647.6190476099873</v>
      </c>
      <c r="AE41" s="11">
        <f t="shared" si="6"/>
        <v>7.270720941633925E-2</v>
      </c>
      <c r="AG41" s="14"/>
      <c r="AH41" s="13" t="s">
        <v>8</v>
      </c>
      <c r="AI41" s="13"/>
      <c r="AJ41" s="45"/>
      <c r="AK41" s="10">
        <f t="shared" si="7"/>
        <v>0</v>
      </c>
      <c r="AL41" s="12">
        <f t="shared" si="7"/>
        <v>-83323.809523720003</v>
      </c>
      <c r="AM41" s="11">
        <f t="shared" si="8"/>
        <v>-1</v>
      </c>
      <c r="AO41" s="14"/>
      <c r="AP41" s="13" t="s">
        <v>8</v>
      </c>
      <c r="AR41" s="12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/>
      <c r="AX41" s="13" t="s">
        <v>8</v>
      </c>
      <c r="AZ41" s="12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/>
      <c r="BF41" s="13" t="s">
        <v>8</v>
      </c>
      <c r="BH41" s="12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S42" s="10">
        <v>15</v>
      </c>
      <c r="T42" s="12">
        <v>102714.28571428001</v>
      </c>
      <c r="U42" s="10">
        <f t="shared" si="2"/>
        <v>2</v>
      </c>
      <c r="V42" s="12">
        <f t="shared" si="3"/>
        <v>9980.9523809600068</v>
      </c>
      <c r="W42" s="11">
        <f t="shared" si="4"/>
        <v>0.10763068707003712</v>
      </c>
      <c r="Y42" s="14"/>
      <c r="Z42" s="13"/>
      <c r="AB42" s="12">
        <v>100704.76190474999</v>
      </c>
      <c r="AC42" s="10">
        <f t="shared" si="5"/>
        <v>-15</v>
      </c>
      <c r="AD42" s="12">
        <f t="shared" si="5"/>
        <v>-2009.5238095300156</v>
      </c>
      <c r="AE42" s="11">
        <f t="shared" si="6"/>
        <v>-1.9564209550362852E-2</v>
      </c>
      <c r="AG42" s="14"/>
      <c r="AH42" s="13" t="s">
        <v>7</v>
      </c>
      <c r="AI42" s="13"/>
      <c r="AJ42" s="45"/>
      <c r="AK42" s="10">
        <f t="shared" si="7"/>
        <v>0</v>
      </c>
      <c r="AL42" s="12">
        <f t="shared" si="7"/>
        <v>-100704.76190474999</v>
      </c>
      <c r="AM42" s="11">
        <f t="shared" si="8"/>
        <v>-1</v>
      </c>
      <c r="AO42" s="14"/>
      <c r="AP42" s="13" t="s">
        <v>7</v>
      </c>
      <c r="AR42" s="12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13" t="s">
        <v>7</v>
      </c>
      <c r="AZ42" s="12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13" t="s">
        <v>7</v>
      </c>
      <c r="BH42" s="12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S43" s="10">
        <v>4</v>
      </c>
      <c r="T43" s="12">
        <v>42476.190476169999</v>
      </c>
      <c r="U43" s="10">
        <f t="shared" si="2"/>
        <v>-6</v>
      </c>
      <c r="V43" s="12">
        <f t="shared" si="3"/>
        <v>-73714.28571428002</v>
      </c>
      <c r="W43" s="11">
        <f t="shared" si="4"/>
        <v>-0.63442622950829064</v>
      </c>
      <c r="Y43" s="14"/>
      <c r="Z43" s="13"/>
      <c r="AB43" s="12">
        <v>129333.33333331</v>
      </c>
      <c r="AC43" s="10">
        <f t="shared" si="5"/>
        <v>-4</v>
      </c>
      <c r="AD43" s="12">
        <f t="shared" si="5"/>
        <v>86857.142857140003</v>
      </c>
      <c r="AE43" s="11">
        <f t="shared" si="6"/>
        <v>2.0448430493282728</v>
      </c>
      <c r="AG43" s="14"/>
      <c r="AH43" s="13" t="s">
        <v>6</v>
      </c>
      <c r="AI43" s="13"/>
      <c r="AJ43" s="45"/>
      <c r="AK43" s="10">
        <f t="shared" si="7"/>
        <v>0</v>
      </c>
      <c r="AL43" s="12">
        <f t="shared" si="7"/>
        <v>-129333.33333331</v>
      </c>
      <c r="AM43" s="11">
        <f t="shared" si="8"/>
        <v>-1</v>
      </c>
      <c r="AO43" s="14"/>
      <c r="AP43" s="13" t="s">
        <v>6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6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6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S44" s="10">
        <v>3</v>
      </c>
      <c r="T44" s="12">
        <v>4490</v>
      </c>
      <c r="U44" s="10">
        <f t="shared" si="2"/>
        <v>2</v>
      </c>
      <c r="V44" s="12">
        <f t="shared" si="3"/>
        <v>1900</v>
      </c>
      <c r="W44" s="11">
        <f t="shared" si="4"/>
        <v>0.73359073359073357</v>
      </c>
      <c r="Y44" s="14"/>
      <c r="Z44" s="13"/>
      <c r="AB44" s="12">
        <v>12990</v>
      </c>
      <c r="AC44" s="10">
        <f t="shared" si="5"/>
        <v>-3</v>
      </c>
      <c r="AD44" s="12">
        <f t="shared" si="5"/>
        <v>8500</v>
      </c>
      <c r="AE44" s="11">
        <f t="shared" si="6"/>
        <v>1.8930957683741647</v>
      </c>
      <c r="AG44" s="14"/>
      <c r="AH44" s="13" t="s">
        <v>5</v>
      </c>
      <c r="AI44" s="13"/>
      <c r="AJ44" s="45"/>
      <c r="AK44" s="10">
        <f t="shared" si="7"/>
        <v>0</v>
      </c>
      <c r="AL44" s="12">
        <f t="shared" si="7"/>
        <v>-12990</v>
      </c>
      <c r="AM44" s="11">
        <f t="shared" si="8"/>
        <v>-1</v>
      </c>
      <c r="AO44" s="14"/>
      <c r="AP44" s="13" t="s">
        <v>5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5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S45" s="10">
        <v>6</v>
      </c>
      <c r="T45" s="12">
        <v>219084.76190473</v>
      </c>
      <c r="U45" s="10">
        <f t="shared" si="2"/>
        <v>1</v>
      </c>
      <c r="V45" s="12">
        <f t="shared" si="3"/>
        <v>59560.95238095001</v>
      </c>
      <c r="W45" s="11">
        <f t="shared" si="4"/>
        <v>0.37336716417915877</v>
      </c>
      <c r="Y45" s="14"/>
      <c r="Z45" s="13"/>
      <c r="AB45" s="12">
        <v>224006.66666664</v>
      </c>
      <c r="AC45" s="10">
        <f t="shared" si="5"/>
        <v>-6</v>
      </c>
      <c r="AD45" s="12">
        <f t="shared" si="5"/>
        <v>4921.904761910002</v>
      </c>
      <c r="AE45" s="11">
        <f t="shared" si="6"/>
        <v>2.2465755806651284E-2</v>
      </c>
      <c r="AG45" s="14"/>
      <c r="AH45" s="13" t="s">
        <v>4</v>
      </c>
      <c r="AI45" s="13"/>
      <c r="AJ45" s="45"/>
      <c r="AK45" s="10">
        <f t="shared" si="7"/>
        <v>0</v>
      </c>
      <c r="AL45" s="12">
        <f t="shared" si="7"/>
        <v>-224006.66666664</v>
      </c>
      <c r="AM45" s="11">
        <f t="shared" si="8"/>
        <v>-1</v>
      </c>
      <c r="AO45" s="14"/>
      <c r="AP45" s="13" t="s">
        <v>4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4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4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S46" s="10">
        <v>8</v>
      </c>
      <c r="T46" s="12">
        <v>208761.90476187001</v>
      </c>
      <c r="U46" s="10">
        <f t="shared" si="2"/>
        <v>-2</v>
      </c>
      <c r="V46" s="12">
        <f t="shared" si="3"/>
        <v>-26476.190476169984</v>
      </c>
      <c r="W46" s="11">
        <f t="shared" si="4"/>
        <v>-0.11255060728738871</v>
      </c>
      <c r="Y46" s="14"/>
      <c r="Z46" s="13"/>
      <c r="AB46" s="12">
        <v>330909.52380948002</v>
      </c>
      <c r="AC46" s="10">
        <f t="shared" si="5"/>
        <v>-8</v>
      </c>
      <c r="AD46" s="12">
        <f t="shared" si="5"/>
        <v>122147.61904761</v>
      </c>
      <c r="AE46" s="11">
        <f t="shared" si="6"/>
        <v>0.58510492700735328</v>
      </c>
      <c r="AG46" s="14"/>
      <c r="AH46" s="13" t="s">
        <v>3</v>
      </c>
      <c r="AI46" s="13"/>
      <c r="AJ46" s="45"/>
      <c r="AK46" s="10">
        <f t="shared" si="7"/>
        <v>0</v>
      </c>
      <c r="AL46" s="12">
        <f t="shared" si="7"/>
        <v>-330909.52380948002</v>
      </c>
      <c r="AM46" s="11">
        <f t="shared" si="8"/>
        <v>-1</v>
      </c>
      <c r="AO46" s="14"/>
      <c r="AP46" s="13" t="s">
        <v>3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3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3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S47" s="10">
        <v>16</v>
      </c>
      <c r="T47" s="12">
        <v>540380.95238092996</v>
      </c>
      <c r="U47" s="10">
        <f t="shared" si="2"/>
        <v>4</v>
      </c>
      <c r="V47" s="12">
        <f t="shared" si="3"/>
        <v>120571.42857143003</v>
      </c>
      <c r="W47" s="11">
        <f t="shared" si="4"/>
        <v>0.28720508166971132</v>
      </c>
      <c r="Y47" s="14"/>
      <c r="Z47" s="13"/>
      <c r="AB47" s="12">
        <v>396857.14285711991</v>
      </c>
      <c r="AC47" s="10">
        <f t="shared" si="5"/>
        <v>-16</v>
      </c>
      <c r="AD47" s="12">
        <f t="shared" si="5"/>
        <v>-143523.80952381005</v>
      </c>
      <c r="AE47" s="11">
        <f t="shared" si="6"/>
        <v>-0.26559746210787238</v>
      </c>
      <c r="AG47" s="14"/>
      <c r="AH47" s="13" t="s">
        <v>2</v>
      </c>
      <c r="AI47" s="13"/>
      <c r="AJ47" s="45"/>
      <c r="AK47" s="10">
        <f t="shared" si="7"/>
        <v>0</v>
      </c>
      <c r="AL47" s="12">
        <f t="shared" si="7"/>
        <v>-396857.14285711991</v>
      </c>
      <c r="AM47" s="11">
        <f t="shared" si="8"/>
        <v>-1</v>
      </c>
      <c r="AO47" s="14"/>
      <c r="AP47" s="13" t="s">
        <v>2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2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2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>
        <v>234</v>
      </c>
      <c r="T48" s="7">
        <v>1310471.9047612399</v>
      </c>
      <c r="U48" s="27">
        <f t="shared" si="2"/>
        <v>43</v>
      </c>
      <c r="V48" s="28">
        <f t="shared" si="3"/>
        <v>162363.80952377012</v>
      </c>
      <c r="W48" s="29">
        <f t="shared" si="4"/>
        <v>0.14141857391066256</v>
      </c>
      <c r="Y48" s="9" t="s">
        <v>10</v>
      </c>
      <c r="Z48" s="9"/>
      <c r="AA48" s="8"/>
      <c r="AB48" s="7">
        <v>1345952.8571423099</v>
      </c>
      <c r="AC48" s="27">
        <f t="shared" si="5"/>
        <v>-234</v>
      </c>
      <c r="AD48" s="28">
        <f t="shared" si="5"/>
        <v>35480.952381070005</v>
      </c>
      <c r="AE48" s="29">
        <f t="shared" si="6"/>
        <v>2.7074943195775282E-2</v>
      </c>
      <c r="AG48" s="9" t="s">
        <v>10</v>
      </c>
      <c r="AH48" s="9"/>
      <c r="AI48" s="9"/>
      <c r="AJ48" s="46"/>
      <c r="AK48" s="27">
        <f t="shared" si="7"/>
        <v>0</v>
      </c>
      <c r="AL48" s="28">
        <f t="shared" si="7"/>
        <v>-1345952.8571423099</v>
      </c>
      <c r="AM48" s="29">
        <f t="shared" si="8"/>
        <v>-1</v>
      </c>
      <c r="AO48" s="9" t="s">
        <v>10</v>
      </c>
      <c r="AP48" s="9"/>
      <c r="AQ48" s="8"/>
      <c r="AR48" s="7"/>
      <c r="AS48" s="27">
        <f t="shared" si="9"/>
        <v>0</v>
      </c>
      <c r="AT48" s="28">
        <f t="shared" si="9"/>
        <v>0</v>
      </c>
      <c r="AU48" s="29" t="e">
        <f t="shared" si="10"/>
        <v>#DIV/0!</v>
      </c>
      <c r="AW48" s="9" t="s">
        <v>10</v>
      </c>
      <c r="AX48" s="9"/>
      <c r="AY48" s="8"/>
      <c r="AZ48" s="7"/>
      <c r="BA48" s="27">
        <f t="shared" si="11"/>
        <v>0</v>
      </c>
      <c r="BB48" s="28">
        <f t="shared" si="12"/>
        <v>0</v>
      </c>
      <c r="BC48" s="29" t="e">
        <f t="shared" si="13"/>
        <v>#DIV/0!</v>
      </c>
      <c r="BE48" s="9" t="s">
        <v>10</v>
      </c>
      <c r="BF48" s="9"/>
      <c r="BG48" s="8"/>
      <c r="BH48" s="7"/>
      <c r="BI48" s="27">
        <f t="shared" si="14"/>
        <v>0</v>
      </c>
      <c r="BJ48" s="28">
        <f t="shared" si="15"/>
        <v>0</v>
      </c>
      <c r="BK48" s="29" t="e">
        <f t="shared" si="16"/>
        <v>#DIV/0!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32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f t="shared" si="23"/>
        <v>0</v>
      </c>
      <c r="CH48" s="28">
        <f t="shared" si="24"/>
        <v>0</v>
      </c>
      <c r="CI48" s="29" t="e">
        <f t="shared" si="25"/>
        <v>#DIV/0!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/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19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19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19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19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T50" s="35"/>
      <c r="U50" s="10">
        <f t="shared" si="2"/>
        <v>-4</v>
      </c>
      <c r="V50" s="12">
        <f t="shared" si="3"/>
        <v>0</v>
      </c>
      <c r="W50" s="11" t="e">
        <f t="shared" si="4"/>
        <v>#DIV/0!</v>
      </c>
      <c r="Y50" s="14"/>
      <c r="Z50" s="32"/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/>
      <c r="AJ50" s="47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32" t="s">
        <v>20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20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32" t="s">
        <v>20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20</v>
      </c>
      <c r="BW50" s="15"/>
      <c r="BX50" s="33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S51" s="10">
        <v>106</v>
      </c>
      <c r="T51" s="12">
        <v>92673.333332900031</v>
      </c>
      <c r="U51" s="10">
        <f t="shared" si="2"/>
        <v>-18</v>
      </c>
      <c r="V51" s="12">
        <f t="shared" si="3"/>
        <v>-32257.142857049927</v>
      </c>
      <c r="W51" s="11">
        <f t="shared" si="4"/>
        <v>-0.25820075165650297</v>
      </c>
      <c r="Y51" s="14"/>
      <c r="Z51" s="13"/>
      <c r="AB51" s="12">
        <v>73125.714285359994</v>
      </c>
      <c r="AC51" s="10">
        <f t="shared" si="5"/>
        <v>-106</v>
      </c>
      <c r="AD51" s="12">
        <f t="shared" si="5"/>
        <v>-19547.619047540036</v>
      </c>
      <c r="AE51" s="11">
        <f t="shared" si="6"/>
        <v>-0.21093035444534314</v>
      </c>
      <c r="AG51" s="14"/>
      <c r="AH51" s="13" t="s">
        <v>9</v>
      </c>
      <c r="AI51" s="13"/>
      <c r="AJ51" s="45"/>
      <c r="AK51" s="10">
        <f t="shared" si="7"/>
        <v>0</v>
      </c>
      <c r="AL51" s="12">
        <f t="shared" si="7"/>
        <v>-73125.714285359994</v>
      </c>
      <c r="AM51" s="11">
        <f t="shared" si="8"/>
        <v>-1</v>
      </c>
      <c r="AO51" s="14"/>
      <c r="AP51" s="13" t="s">
        <v>9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9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9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S52" s="10">
        <v>91</v>
      </c>
      <c r="T52" s="12">
        <v>83609.523809440012</v>
      </c>
      <c r="U52" s="10">
        <f t="shared" si="2"/>
        <v>31</v>
      </c>
      <c r="V52" s="12">
        <f t="shared" si="3"/>
        <v>21419.047619029996</v>
      </c>
      <c r="W52" s="11">
        <f t="shared" si="4"/>
        <v>0.34441041347634649</v>
      </c>
      <c r="Y52" s="14"/>
      <c r="Z52" s="13"/>
      <c r="AB52" s="12">
        <v>79457.142857069994</v>
      </c>
      <c r="AC52" s="10">
        <f t="shared" si="5"/>
        <v>-91</v>
      </c>
      <c r="AD52" s="12">
        <f t="shared" si="5"/>
        <v>-4152.3809523700183</v>
      </c>
      <c r="AE52" s="11">
        <f t="shared" si="6"/>
        <v>-4.966397083942236E-2</v>
      </c>
      <c r="AG52" s="14"/>
      <c r="AH52" s="13" t="s">
        <v>8</v>
      </c>
      <c r="AI52" s="13"/>
      <c r="AJ52" s="45"/>
      <c r="AK52" s="10">
        <f t="shared" si="7"/>
        <v>0</v>
      </c>
      <c r="AL52" s="12">
        <f t="shared" si="7"/>
        <v>-79457.142857069994</v>
      </c>
      <c r="AM52" s="11">
        <f t="shared" si="8"/>
        <v>-1</v>
      </c>
      <c r="AO52" s="14"/>
      <c r="AP52" s="13" t="s">
        <v>8</v>
      </c>
      <c r="AR52" s="12"/>
      <c r="AS52" s="10">
        <f t="shared" si="9"/>
        <v>0</v>
      </c>
      <c r="AT52" s="12">
        <f t="shared" si="9"/>
        <v>0</v>
      </c>
      <c r="AU52" s="11" t="e">
        <f t="shared" si="10"/>
        <v>#DIV/0!</v>
      </c>
      <c r="AW52" s="14"/>
      <c r="AX52" s="13" t="s">
        <v>8</v>
      </c>
      <c r="AZ52" s="12"/>
      <c r="BA52" s="10">
        <f t="shared" si="11"/>
        <v>0</v>
      </c>
      <c r="BB52" s="12">
        <f t="shared" si="12"/>
        <v>0</v>
      </c>
      <c r="BC52" s="11" t="e">
        <f t="shared" si="13"/>
        <v>#DIV/0!</v>
      </c>
      <c r="BE52" s="14"/>
      <c r="BF52" s="13" t="s">
        <v>8</v>
      </c>
      <c r="BH52" s="12"/>
      <c r="BI52" s="10">
        <f t="shared" si="14"/>
        <v>0</v>
      </c>
      <c r="BJ52" s="12">
        <f t="shared" si="15"/>
        <v>0</v>
      </c>
      <c r="BK52" s="11" t="e">
        <f t="shared" si="16"/>
        <v>#DIV/0!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32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f t="shared" si="23"/>
        <v>0</v>
      </c>
      <c r="CH52" s="12">
        <f t="shared" si="24"/>
        <v>0</v>
      </c>
      <c r="CI52" s="11" t="e">
        <f t="shared" si="25"/>
        <v>#DIV/0!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S53" s="10">
        <v>11</v>
      </c>
      <c r="T53" s="12">
        <v>101323.80952380001</v>
      </c>
      <c r="U53" s="10">
        <f t="shared" si="2"/>
        <v>0</v>
      </c>
      <c r="V53" s="12">
        <f t="shared" si="3"/>
        <v>28571.428571430006</v>
      </c>
      <c r="W53" s="11">
        <f t="shared" si="4"/>
        <v>0.39272156041374551</v>
      </c>
      <c r="Y53" s="14"/>
      <c r="Z53" s="13"/>
      <c r="AB53" s="12">
        <v>86152.380952370004</v>
      </c>
      <c r="AC53" s="10">
        <f t="shared" si="5"/>
        <v>-11</v>
      </c>
      <c r="AD53" s="12">
        <f t="shared" si="5"/>
        <v>-15171.428571430006</v>
      </c>
      <c r="AE53" s="11">
        <f t="shared" si="6"/>
        <v>-0.14973211768026132</v>
      </c>
      <c r="AG53" s="14"/>
      <c r="AH53" s="13" t="s">
        <v>7</v>
      </c>
      <c r="AI53" s="13"/>
      <c r="AJ53" s="45"/>
      <c r="AK53" s="10">
        <f t="shared" si="7"/>
        <v>0</v>
      </c>
      <c r="AL53" s="12">
        <f t="shared" si="7"/>
        <v>-86152.380952370004</v>
      </c>
      <c r="AM53" s="11">
        <f t="shared" si="8"/>
        <v>-1</v>
      </c>
      <c r="AO53" s="14"/>
      <c r="AP53" s="13" t="s">
        <v>7</v>
      </c>
      <c r="AR53" s="12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/>
      <c r="AX53" s="13" t="s">
        <v>7</v>
      </c>
      <c r="AZ53" s="12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/>
      <c r="BF53" s="13" t="s">
        <v>7</v>
      </c>
      <c r="BH53" s="12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S54" s="10">
        <v>9</v>
      </c>
      <c r="T54" s="12">
        <v>112476.19047615</v>
      </c>
      <c r="U54" s="10">
        <f t="shared" si="2"/>
        <v>2</v>
      </c>
      <c r="V54" s="12">
        <f t="shared" si="3"/>
        <v>22666.666666649995</v>
      </c>
      <c r="W54" s="11">
        <f t="shared" si="4"/>
        <v>0.252386002120772</v>
      </c>
      <c r="Y54" s="14"/>
      <c r="Z54" s="13"/>
      <c r="AB54" s="12">
        <v>118285.71428567999</v>
      </c>
      <c r="AC54" s="10">
        <f t="shared" si="5"/>
        <v>-9</v>
      </c>
      <c r="AD54" s="12">
        <f t="shared" si="5"/>
        <v>5809.5238095299865</v>
      </c>
      <c r="AE54" s="11">
        <f t="shared" si="6"/>
        <v>5.1651143099142087E-2</v>
      </c>
      <c r="AG54" s="14"/>
      <c r="AH54" s="13" t="s">
        <v>6</v>
      </c>
      <c r="AI54" s="13"/>
      <c r="AJ54" s="45"/>
      <c r="AK54" s="10">
        <f t="shared" si="7"/>
        <v>0</v>
      </c>
      <c r="AL54" s="12">
        <f t="shared" si="7"/>
        <v>-118285.71428567999</v>
      </c>
      <c r="AM54" s="11">
        <f t="shared" si="8"/>
        <v>-1</v>
      </c>
      <c r="AO54" s="14"/>
      <c r="AP54" s="13" t="s">
        <v>6</v>
      </c>
      <c r="AR54" s="12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13" t="s">
        <v>6</v>
      </c>
      <c r="AZ54" s="12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13" t="s">
        <v>6</v>
      </c>
      <c r="BH54" s="12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S55" s="10">
        <v>4</v>
      </c>
      <c r="T55" s="12">
        <v>12160</v>
      </c>
      <c r="U55" s="10">
        <f t="shared" si="2"/>
        <v>-2</v>
      </c>
      <c r="V55" s="12">
        <f t="shared" si="3"/>
        <v>-12980</v>
      </c>
      <c r="W55" s="11">
        <f t="shared" si="4"/>
        <v>-0.51630867143993631</v>
      </c>
      <c r="Y55" s="14"/>
      <c r="Z55" s="13"/>
      <c r="AB55" s="12">
        <v>5880</v>
      </c>
      <c r="AC55" s="10">
        <f t="shared" si="5"/>
        <v>-4</v>
      </c>
      <c r="AD55" s="12">
        <f t="shared" si="5"/>
        <v>-6280</v>
      </c>
      <c r="AE55" s="11">
        <f t="shared" si="6"/>
        <v>-0.51644736842105265</v>
      </c>
      <c r="AG55" s="14"/>
      <c r="AH55" s="13" t="s">
        <v>5</v>
      </c>
      <c r="AI55" s="13"/>
      <c r="AJ55" s="45"/>
      <c r="AK55" s="10">
        <f t="shared" si="7"/>
        <v>0</v>
      </c>
      <c r="AL55" s="12">
        <f t="shared" si="7"/>
        <v>-5880</v>
      </c>
      <c r="AM55" s="11">
        <f t="shared" si="8"/>
        <v>-1</v>
      </c>
      <c r="AO55" s="14"/>
      <c r="AP55" s="13" t="s">
        <v>5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5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5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S56" s="10">
        <v>3</v>
      </c>
      <c r="T56" s="12">
        <v>74814.285714270009</v>
      </c>
      <c r="U56" s="10">
        <f t="shared" si="2"/>
        <v>-2</v>
      </c>
      <c r="V56" s="12">
        <f t="shared" si="3"/>
        <v>-81242.857142839974</v>
      </c>
      <c r="W56" s="11">
        <f t="shared" si="4"/>
        <v>-0.52059685097034014</v>
      </c>
      <c r="Y56" s="14"/>
      <c r="Z56" s="13"/>
      <c r="AB56" s="12">
        <v>55999.999999990003</v>
      </c>
      <c r="AC56" s="10">
        <f t="shared" si="5"/>
        <v>-3</v>
      </c>
      <c r="AD56" s="12">
        <f t="shared" si="5"/>
        <v>-18814.285714280006</v>
      </c>
      <c r="AE56" s="11">
        <f t="shared" si="6"/>
        <v>-0.25147985487872387</v>
      </c>
      <c r="AG56" s="14"/>
      <c r="AH56" s="13" t="s">
        <v>4</v>
      </c>
      <c r="AI56" s="13"/>
      <c r="AJ56" s="45"/>
      <c r="AK56" s="10">
        <f t="shared" si="7"/>
        <v>0</v>
      </c>
      <c r="AL56" s="12">
        <f t="shared" si="7"/>
        <v>-55999.999999990003</v>
      </c>
      <c r="AM56" s="11">
        <f t="shared" si="8"/>
        <v>-1</v>
      </c>
      <c r="AO56" s="14"/>
      <c r="AP56" s="13" t="s">
        <v>4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4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4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S57" s="10">
        <v>11</v>
      </c>
      <c r="T57" s="12">
        <v>248952.38095232999</v>
      </c>
      <c r="U57" s="10">
        <f t="shared" si="2"/>
        <v>6</v>
      </c>
      <c r="V57" s="12">
        <f t="shared" si="3"/>
        <v>134190.47619044001</v>
      </c>
      <c r="W57" s="11">
        <f t="shared" si="4"/>
        <v>1.1692946058089637</v>
      </c>
      <c r="Y57" s="14"/>
      <c r="Z57" s="13"/>
      <c r="AB57" s="12">
        <v>321904.76190471998</v>
      </c>
      <c r="AC57" s="10">
        <f t="shared" si="5"/>
        <v>-11</v>
      </c>
      <c r="AD57" s="12">
        <f t="shared" si="5"/>
        <v>72952.380952389998</v>
      </c>
      <c r="AE57" s="11">
        <f t="shared" si="6"/>
        <v>0.29303749043620958</v>
      </c>
      <c r="AG57" s="14"/>
      <c r="AH57" s="13" t="s">
        <v>3</v>
      </c>
      <c r="AI57" s="13"/>
      <c r="AJ57" s="45"/>
      <c r="AK57" s="10">
        <f t="shared" si="7"/>
        <v>0</v>
      </c>
      <c r="AL57" s="12">
        <f t="shared" si="7"/>
        <v>-321904.76190471998</v>
      </c>
      <c r="AM57" s="11">
        <f t="shared" si="8"/>
        <v>-1</v>
      </c>
      <c r="AO57" s="14"/>
      <c r="AP57" s="13" t="s">
        <v>3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3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3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S58" s="10">
        <v>16</v>
      </c>
      <c r="T58" s="12">
        <v>535619.04761903</v>
      </c>
      <c r="U58" s="10">
        <f t="shared" si="2"/>
        <v>-4</v>
      </c>
      <c r="V58" s="12">
        <f t="shared" si="3"/>
        <v>-122476.19047618995</v>
      </c>
      <c r="W58" s="11">
        <f t="shared" si="4"/>
        <v>-0.18610709117221852</v>
      </c>
      <c r="Y58" s="14"/>
      <c r="Z58" s="13"/>
      <c r="AB58" s="12">
        <v>858761.90476186003</v>
      </c>
      <c r="AC58" s="10">
        <f t="shared" si="5"/>
        <v>-16</v>
      </c>
      <c r="AD58" s="12">
        <f t="shared" si="5"/>
        <v>323142.85714283003</v>
      </c>
      <c r="AE58" s="11">
        <f t="shared" si="6"/>
        <v>0.60330725462301338</v>
      </c>
      <c r="AG58" s="14"/>
      <c r="AH58" s="13" t="s">
        <v>2</v>
      </c>
      <c r="AI58" s="13"/>
      <c r="AJ58" s="45"/>
      <c r="AK58" s="10">
        <f t="shared" si="7"/>
        <v>0</v>
      </c>
      <c r="AL58" s="12">
        <f t="shared" si="7"/>
        <v>-858761.90476186003</v>
      </c>
      <c r="AM58" s="11">
        <f t="shared" si="8"/>
        <v>-1</v>
      </c>
      <c r="AO58" s="14"/>
      <c r="AP58" s="13" t="s">
        <v>2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2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2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>
        <v>251</v>
      </c>
      <c r="T59" s="7">
        <v>1261628.5714279201</v>
      </c>
      <c r="U59" s="27">
        <f t="shared" si="2"/>
        <v>13</v>
      </c>
      <c r="V59" s="28">
        <f t="shared" si="3"/>
        <v>-42108.571428529685</v>
      </c>
      <c r="W59" s="29">
        <f t="shared" si="4"/>
        <v>-3.2298359879715507E-2</v>
      </c>
      <c r="Y59" s="9" t="s">
        <v>1</v>
      </c>
      <c r="Z59" s="9"/>
      <c r="AA59" s="8"/>
      <c r="AB59" s="7">
        <v>1599567.6190470499</v>
      </c>
      <c r="AC59" s="27">
        <f t="shared" si="5"/>
        <v>-251</v>
      </c>
      <c r="AD59" s="28">
        <f t="shared" si="5"/>
        <v>337939.04761912976</v>
      </c>
      <c r="AE59" s="29">
        <f t="shared" si="6"/>
        <v>0.26785938054386954</v>
      </c>
      <c r="AG59" s="9" t="s">
        <v>1</v>
      </c>
      <c r="AH59" s="9"/>
      <c r="AI59" s="9"/>
      <c r="AJ59" s="46"/>
      <c r="AK59" s="27">
        <f t="shared" si="7"/>
        <v>0</v>
      </c>
      <c r="AL59" s="28">
        <f t="shared" si="7"/>
        <v>-1599567.6190470499</v>
      </c>
      <c r="AM59" s="29">
        <f t="shared" si="8"/>
        <v>-1</v>
      </c>
      <c r="AO59" s="9" t="s">
        <v>1</v>
      </c>
      <c r="AP59" s="9"/>
      <c r="AQ59" s="8"/>
      <c r="AR59" s="7"/>
      <c r="AS59" s="27">
        <f t="shared" si="9"/>
        <v>0</v>
      </c>
      <c r="AT59" s="28">
        <f t="shared" si="9"/>
        <v>0</v>
      </c>
      <c r="AU59" s="29" t="e">
        <f t="shared" si="10"/>
        <v>#DIV/0!</v>
      </c>
      <c r="AW59" s="9" t="s">
        <v>1</v>
      </c>
      <c r="AX59" s="9"/>
      <c r="AY59" s="8"/>
      <c r="AZ59" s="7"/>
      <c r="BA59" s="27">
        <f t="shared" si="11"/>
        <v>0</v>
      </c>
      <c r="BB59" s="28">
        <f t="shared" si="12"/>
        <v>0</v>
      </c>
      <c r="BC59" s="29" t="e">
        <f t="shared" si="13"/>
        <v>#DIV/0!</v>
      </c>
      <c r="BE59" s="9" t="s">
        <v>1</v>
      </c>
      <c r="BF59" s="9"/>
      <c r="BG59" s="8"/>
      <c r="BH59" s="7"/>
      <c r="BI59" s="27">
        <f t="shared" si="14"/>
        <v>0</v>
      </c>
      <c r="BJ59" s="28">
        <f t="shared" si="15"/>
        <v>0</v>
      </c>
      <c r="BK59" s="29" t="e">
        <f t="shared" si="16"/>
        <v>#DIV/0!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32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f t="shared" si="23"/>
        <v>0</v>
      </c>
      <c r="CH59" s="28">
        <f t="shared" si="24"/>
        <v>0</v>
      </c>
      <c r="CI59" s="29" t="e">
        <f t="shared" si="25"/>
        <v>#DIV/0!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>
        <v>2067</v>
      </c>
      <c r="T60" s="2">
        <v>16439730.47618423</v>
      </c>
      <c r="U60" s="6">
        <f t="shared" si="2"/>
        <v>450</v>
      </c>
      <c r="V60" s="5">
        <f t="shared" si="3"/>
        <v>1464262.3809497282</v>
      </c>
      <c r="W60" s="30">
        <f t="shared" si="4"/>
        <v>9.7777403126095688E-2</v>
      </c>
      <c r="Y60" s="4" t="s">
        <v>0</v>
      </c>
      <c r="Z60" s="4"/>
      <c r="AA60" s="3"/>
      <c r="AB60" s="2">
        <v>16504919.047614958</v>
      </c>
      <c r="AC60" s="6">
        <f t="shared" si="5"/>
        <v>-2067</v>
      </c>
      <c r="AD60" s="5">
        <f t="shared" si="5"/>
        <v>65188.571430727839</v>
      </c>
      <c r="AE60" s="30">
        <f t="shared" si="6"/>
        <v>3.9653065800053519E-3</v>
      </c>
      <c r="AG60" s="4" t="s">
        <v>0</v>
      </c>
      <c r="AH60" s="4"/>
      <c r="AI60" s="4"/>
      <c r="AJ60" s="48"/>
      <c r="AK60" s="6">
        <f t="shared" si="7"/>
        <v>0</v>
      </c>
      <c r="AL60" s="5">
        <f t="shared" si="7"/>
        <v>-16504919.047614958</v>
      </c>
      <c r="AM60" s="30">
        <f t="shared" si="8"/>
        <v>-1</v>
      </c>
      <c r="AO60" s="4" t="s">
        <v>0</v>
      </c>
      <c r="AP60" s="4"/>
      <c r="AQ60" s="3"/>
      <c r="AR60" s="2"/>
      <c r="AS60" s="6">
        <f t="shared" si="9"/>
        <v>0</v>
      </c>
      <c r="AT60" s="5">
        <f t="shared" si="9"/>
        <v>0</v>
      </c>
      <c r="AU60" s="30" t="e">
        <f t="shared" si="10"/>
        <v>#DIV/0!</v>
      </c>
      <c r="AW60" s="4" t="s">
        <v>0</v>
      </c>
      <c r="AX60" s="4"/>
      <c r="AY60" s="3"/>
      <c r="AZ60" s="2"/>
      <c r="BA60" s="6">
        <f t="shared" si="11"/>
        <v>0</v>
      </c>
      <c r="BB60" s="5">
        <f t="shared" si="12"/>
        <v>0</v>
      </c>
      <c r="BC60" s="30" t="e">
        <f t="shared" si="13"/>
        <v>#DIV/0!</v>
      </c>
      <c r="BE60" s="4" t="s">
        <v>0</v>
      </c>
      <c r="BF60" s="4"/>
      <c r="BG60" s="3"/>
      <c r="BH60" s="2"/>
      <c r="BI60" s="6">
        <f t="shared" si="14"/>
        <v>0</v>
      </c>
      <c r="BJ60" s="5">
        <f t="shared" si="15"/>
        <v>0</v>
      </c>
      <c r="BK60" s="30" t="e">
        <f t="shared" si="16"/>
        <v>#DIV/0!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32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f t="shared" si="23"/>
        <v>0</v>
      </c>
      <c r="CH60" s="5">
        <f t="shared" si="24"/>
        <v>0</v>
      </c>
      <c r="CI60" s="30" t="e">
        <f t="shared" si="25"/>
        <v>#DIV/0!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2026-07-19T15:17:15Z</dcterms:modified>
</cp:coreProperties>
</file>